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arf" sheetId="1" state="visible" r:id="rId1"/>
    <sheet xmlns:r="http://schemas.openxmlformats.org/officeDocument/2006/relationships" name="Haushalt" sheetId="2" state="visible" r:id="rId2"/>
    <sheet xmlns:r="http://schemas.openxmlformats.org/officeDocument/2006/relationships" name="Lebensmittel" sheetId="3" state="visible" r:id="rId3"/>
    <sheet xmlns:r="http://schemas.openxmlformats.org/officeDocument/2006/relationships" name="Ausruestung" sheetId="4" state="visible" r:id="rId4"/>
    <sheet xmlns:r="http://schemas.openxmlformats.org/officeDocument/2006/relationships" name="Einkaufsliste" sheetId="5" state="visible" r:id="rId5"/>
    <sheet xmlns:r="http://schemas.openxmlformats.org/officeDocument/2006/relationships" name="Lagerkontrolle" sheetId="6" state="visible" r:id="rId6"/>
    <sheet xmlns:r="http://schemas.openxmlformats.org/officeDocument/2006/relationships" name="Wasservergleich" sheetId="7" state="visible" r:id="rId7"/>
    <sheet xmlns:r="http://schemas.openxmlformats.org/officeDocument/2006/relationships" name="Referenz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3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9" fontId="0" fillId="0" borderId="1" pivotButton="0" quotePrefix="0" xfId="0"/>
    <xf numFmtId="0" fontId="3" fillId="0" borderId="0" pivotButton="0" quotePrefix="0" xfId="0"/>
    <xf numFmtId="2" fontId="0" fillId="0" borderId="1" pivotButton="0" quotePrefix="0" xfId="0"/>
    <xf numFmtId="0" fontId="3" fillId="4" borderId="1" pivotButton="0" quotePrefix="0" xfId="0"/>
    <xf numFmtId="0" fontId="0" fillId="4" borderId="1" pivotButton="0" quotePrefix="0" xfId="0"/>
    <xf numFmtId="3" fontId="3" fillId="4" borderId="1" pivotButton="0" quotePrefix="0" xfId="0"/>
    <xf numFmtId="2" fontId="3" fillId="4" borderId="1" pivotButton="0" quotePrefix="0" xfId="0"/>
    <xf numFmtId="164" fontId="3" fillId="4" borderId="1" pivotButton="0" quotePrefix="0" xfId="0"/>
    <xf numFmtId="1" fontId="3" fillId="4" borderId="1" pivotButton="0" quotePrefix="0" xfId="0"/>
    <xf numFmtId="4" fontId="0" fillId="0" borderId="1" pivotButton="0" quotePrefix="0" xfId="0"/>
    <xf numFmtId="4" fontId="3" fillId="4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kcal je Lebensmittel (10 Tage, 2.000 kcal/Tag)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'Lebensmittel'!E4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'Lebensmittel'!$A$5:$A$12</f>
            </numRef>
          </cat>
          <val>
            <numRef>
              <f>'Lebensmittel'!$E$5:$E$12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kcal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Wasser pro Person und Tag (L)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'Wasservergleich'!B3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'Wasservergleich'!$A$4:$A$8</f>
            </numRef>
          </cat>
          <val>
            <numRef>
              <f>'Wasservergleich'!$B$4:$B$8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22" customWidth="1" min="3" max="3"/>
    <col width="26" customWidth="1" min="4" max="4"/>
  </cols>
  <sheetData>
    <row r="1">
      <c r="A1" s="1" t="inlineStr">
        <is>
          <t>Notfallvorrat: Bedarf pro Person</t>
        </is>
      </c>
    </row>
    <row r="2">
      <c r="A2" t="inlineStr">
        <is>
          <t>Gelbe Felder sind Eingaben. Alle anderen Werte werden berechnet.</t>
        </is>
      </c>
    </row>
    <row r="3">
      <c r="A3" s="2" t="inlineStr">
        <is>
          <t>Eingabe</t>
        </is>
      </c>
      <c r="B3" s="2" t="inlineStr">
        <is>
          <t>Wert</t>
        </is>
      </c>
      <c r="C3" s="2" t="inlineStr">
        <is>
          <t>Einheit</t>
        </is>
      </c>
    </row>
    <row r="4">
      <c r="A4" s="3" t="inlineStr">
        <is>
          <t>Körpergewicht</t>
        </is>
      </c>
      <c r="B4" s="4" t="n">
        <v>97.5</v>
      </c>
      <c r="C4" s="3" t="inlineStr">
        <is>
          <t>kg</t>
        </is>
      </c>
    </row>
    <row r="5">
      <c r="A5" s="3" t="inlineStr">
        <is>
          <t>Aktivitätsfaktor (Krise)</t>
        </is>
      </c>
      <c r="B5" s="4" t="n">
        <v>1.3</v>
      </c>
      <c r="C5" s="3" t="inlineStr">
        <is>
          <t>x</t>
        </is>
      </c>
    </row>
    <row r="6">
      <c r="A6" s="3" t="inlineStr">
        <is>
          <t>Energiebedarf je kg Körpergewicht</t>
        </is>
      </c>
      <c r="B6" s="4" t="n">
        <v>24</v>
      </c>
      <c r="C6" s="3" t="inlineStr">
        <is>
          <t>kcal/kg/Tag</t>
        </is>
      </c>
    </row>
    <row r="7">
      <c r="A7" s="3" t="inlineStr">
        <is>
          <t>Trinkwasser je kg Körpergewicht</t>
        </is>
      </c>
      <c r="B7" s="4" t="n">
        <v>35</v>
      </c>
      <c r="C7" s="3" t="inlineStr">
        <is>
          <t>ml/kg/Tag</t>
        </is>
      </c>
    </row>
    <row r="8">
      <c r="A8" s="3" t="inlineStr">
        <is>
          <t>Hygienewasser</t>
        </is>
      </c>
      <c r="B8" s="4" t="n">
        <v>2</v>
      </c>
      <c r="C8" s="3" t="inlineStr">
        <is>
          <t>L/Tag</t>
        </is>
      </c>
    </row>
    <row r="9">
      <c r="A9" s="3" t="inlineStr">
        <is>
          <t>Zeitraum</t>
        </is>
      </c>
      <c r="B9" s="4" t="n">
        <v>10</v>
      </c>
      <c r="C9" s="3" t="inlineStr">
        <is>
          <t>Tage</t>
        </is>
      </c>
    </row>
    <row r="11">
      <c r="A11" s="2" t="inlineStr">
        <is>
          <t>Ergebnis</t>
        </is>
      </c>
      <c r="B11" s="2" t="inlineStr">
        <is>
          <t>Wert</t>
        </is>
      </c>
      <c r="C11" s="2" t="inlineStr">
        <is>
          <t>Einheit</t>
        </is>
      </c>
    </row>
    <row r="12">
      <c r="A12" s="3" t="inlineStr">
        <is>
          <t>Energiebedarf</t>
        </is>
      </c>
      <c r="B12" s="5">
        <f>B4*B6*B5</f>
        <v/>
      </c>
      <c r="C12" s="3" t="inlineStr">
        <is>
          <t>kcal/Tag</t>
        </is>
      </c>
    </row>
    <row r="13">
      <c r="A13" s="3" t="inlineStr">
        <is>
          <t>Trinkwasser</t>
        </is>
      </c>
      <c r="B13" s="6">
        <f>B4*B7/1000</f>
        <v/>
      </c>
      <c r="C13" s="3" t="inlineStr">
        <is>
          <t>L/Tag</t>
        </is>
      </c>
    </row>
    <row r="14">
      <c r="A14" s="3" t="inlineStr">
        <is>
          <t>Trinkwasser für den Zeitraum</t>
        </is>
      </c>
      <c r="B14" s="7">
        <f>B13*B9</f>
        <v/>
      </c>
      <c r="C14" s="3" t="inlineStr">
        <is>
          <t>L</t>
        </is>
      </c>
    </row>
    <row r="15">
      <c r="A15" s="3" t="inlineStr">
        <is>
          <t>Wasser inkl. Hygiene für den Zeitraum</t>
        </is>
      </c>
      <c r="B15" s="7">
        <f>B14+B8*B9</f>
        <v/>
      </c>
      <c r="C15" s="3" t="inlineStr">
        <is>
          <t>L</t>
        </is>
      </c>
    </row>
    <row r="16">
      <c r="A16" s="3" t="inlineStr">
        <is>
          <t>Lebensmittel für den Zeitraum (ohne Haushaltsfaktor)</t>
        </is>
      </c>
      <c r="B16" s="6">
        <f>B12/2000*Lebensmittel!D13*B9/10</f>
        <v/>
      </c>
      <c r="C16" s="3" t="inlineStr">
        <is>
          <t>kg</t>
        </is>
      </c>
    </row>
    <row r="17">
      <c r="A17" s="3" t="inlineStr">
        <is>
          <t>Lebensmittel-Energie im Vorrat für den Zeitraum</t>
        </is>
      </c>
      <c r="B17" s="5">
        <f>Lebensmittel!E13*B9/10</f>
        <v/>
      </c>
      <c r="C17" s="3" t="inlineStr">
        <is>
          <t>kcal</t>
        </is>
      </c>
    </row>
    <row r="18">
      <c r="A18" s="3" t="inlineStr">
        <is>
          <t>Deckungsgrad des Lebensmittelvorrats</t>
        </is>
      </c>
      <c r="B18" s="8">
        <f>B17/(B12*B9)</f>
        <v/>
      </c>
      <c r="C18" s="3" t="inlineStr">
        <is>
          <t>%</t>
        </is>
      </c>
    </row>
    <row r="20">
      <c r="A20" s="9" t="inlineStr">
        <is>
          <t>Vergleich nach Körpergewicht (Zeitraum laut Eingabe)</t>
        </is>
      </c>
    </row>
    <row r="21">
      <c r="A21" s="2" t="inlineStr">
        <is>
          <t>Körpergewicht (kg)</t>
        </is>
      </c>
      <c r="B21" s="2" t="inlineStr">
        <is>
          <t>kcal/Tag</t>
        </is>
      </c>
      <c r="C21" s="2" t="inlineStr">
        <is>
          <t>Trinkwasser (L/Tag)</t>
        </is>
      </c>
      <c r="D21" s="2" t="inlineStr">
        <is>
          <t>Wasser inkl. Hygiene (L)</t>
        </is>
      </c>
    </row>
    <row r="22">
      <c r="A22" s="3" t="n">
        <v>65</v>
      </c>
      <c r="B22" s="5">
        <f>A22*$B$6*$B$5</f>
        <v/>
      </c>
      <c r="C22" s="6">
        <f>A22*$B$7/1000</f>
        <v/>
      </c>
      <c r="D22" s="7">
        <f>A22*$B$7/1000*$B$9+$B$8*$B$9</f>
        <v/>
      </c>
    </row>
    <row r="23">
      <c r="A23" s="3" t="n">
        <v>97.5</v>
      </c>
      <c r="B23" s="5">
        <f>A23*$B$6*$B$5</f>
        <v/>
      </c>
      <c r="C23" s="6">
        <f>A23*$B$7/1000</f>
        <v/>
      </c>
      <c r="D23" s="7">
        <f>A23*$B$7/1000*$B$9+$B$8*$B$9</f>
        <v/>
      </c>
    </row>
    <row r="24">
      <c r="A24" s="3" t="n">
        <v>130</v>
      </c>
      <c r="B24" s="5">
        <f>A24*$B$6*$B$5</f>
        <v/>
      </c>
      <c r="C24" s="6">
        <f>A24*$B$7/1000</f>
        <v/>
      </c>
      <c r="D24" s="7">
        <f>A24*$B$7/1000*$B$9+$B$8*$B$9</f>
        <v/>
      </c>
    </row>
  </sheetData>
  <conditionalFormatting sqref="B18">
    <cfRule type="cellIs" priority="1" operator="lessThan" dxfId="0">
      <formula>1</formula>
    </cfRule>
    <cfRule type="cellIs" priority="2" operator="greaterThanOrEqual" dxfId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Haushaltsrechner: Vorrat für mehrere Personen</t>
        </is>
      </c>
    </row>
    <row r="2">
      <c r="A2" t="inlineStr">
        <is>
          <t>Gewicht jeder Person eintragen (gelbe Felder). Zeitraum kommt aus Bedarf!B9.</t>
        </is>
      </c>
    </row>
    <row r="3">
      <c r="A3" t="inlineStr">
        <is>
          <t>Zeitraum (Tage)</t>
        </is>
      </c>
      <c r="B3" s="9">
        <f>Bedarf!B9</f>
        <v/>
      </c>
    </row>
    <row r="4">
      <c r="A4" t="inlineStr">
        <is>
          <t>Anzahl Personen</t>
        </is>
      </c>
      <c r="B4" s="9">
        <f>COUNT(B7:B14)</f>
        <v/>
      </c>
    </row>
    <row r="6">
      <c r="A6" s="2" t="inlineStr">
        <is>
          <t>Name</t>
        </is>
      </c>
      <c r="B6" s="2" t="inlineStr">
        <is>
          <t>Gewicht (kg)</t>
        </is>
      </c>
      <c r="C6" s="2" t="inlineStr">
        <is>
          <t>kcal pro Tag</t>
        </is>
      </c>
      <c r="D6" s="2" t="inlineStr">
        <is>
          <t>Lebensmittel-Faktor</t>
        </is>
      </c>
      <c r="E6" s="2" t="inlineStr">
        <is>
          <t>Lebensmittel (kg)</t>
        </is>
      </c>
      <c r="F6" s="2" t="inlineStr">
        <is>
          <t>Trinkwasser (L)</t>
        </is>
      </c>
      <c r="G6" s="2" t="inlineStr">
        <is>
          <t>Hygienewasser (L)</t>
        </is>
      </c>
      <c r="H6" s="2" t="inlineStr">
        <is>
          <t>Wasser gesamt (L)</t>
        </is>
      </c>
    </row>
    <row r="7">
      <c r="A7" s="4" t="inlineStr">
        <is>
          <t>Person 1</t>
        </is>
      </c>
      <c r="B7" s="4" t="n">
        <v>97.5</v>
      </c>
      <c r="C7" s="5">
        <f>IF(B7="","",B7*Bedarf!$B$6*Bedarf!$B$5)</f>
        <v/>
      </c>
      <c r="D7" s="10">
        <f>IF(B7="","",C7/2000)</f>
        <v/>
      </c>
      <c r="E7" s="6">
        <f>IF(B7="","",D7*Lebensmittel!$D$13*$B$3/10)</f>
        <v/>
      </c>
      <c r="F7" s="7">
        <f>IF(B7="","",B7*Bedarf!$B$7/1000*$B$3)</f>
        <v/>
      </c>
      <c r="G7" s="7">
        <f>IF(B7="","",Bedarf!$B$8*$B$3)</f>
        <v/>
      </c>
      <c r="H7" s="7">
        <f>IF(B7="","",F7+G7)</f>
        <v/>
      </c>
    </row>
    <row r="8">
      <c r="A8" s="4" t="inlineStr">
        <is>
          <t>Person 2</t>
        </is>
      </c>
      <c r="B8" s="4" t="n">
        <v>65</v>
      </c>
      <c r="C8" s="5">
        <f>IF(B8="","",B8*Bedarf!$B$6*Bedarf!$B$5)</f>
        <v/>
      </c>
      <c r="D8" s="10">
        <f>IF(B8="","",C8/2000)</f>
        <v/>
      </c>
      <c r="E8" s="6">
        <f>IF(B8="","",D8*Lebensmittel!$D$13*$B$3/10)</f>
        <v/>
      </c>
      <c r="F8" s="7">
        <f>IF(B8="","",B8*Bedarf!$B$7/1000*$B$3)</f>
        <v/>
      </c>
      <c r="G8" s="7">
        <f>IF(B8="","",Bedarf!$B$8*$B$3)</f>
        <v/>
      </c>
      <c r="H8" s="7">
        <f>IF(B8="","",F8+G8)</f>
        <v/>
      </c>
    </row>
    <row r="9">
      <c r="A9" s="4" t="inlineStr">
        <is>
          <t>Person 3</t>
        </is>
      </c>
      <c r="B9" s="4" t="n">
        <v>130</v>
      </c>
      <c r="C9" s="5">
        <f>IF(B9="","",B9*Bedarf!$B$6*Bedarf!$B$5)</f>
        <v/>
      </c>
      <c r="D9" s="10">
        <f>IF(B9="","",C9/2000)</f>
        <v/>
      </c>
      <c r="E9" s="6">
        <f>IF(B9="","",D9*Lebensmittel!$D$13*$B$3/10)</f>
        <v/>
      </c>
      <c r="F9" s="7">
        <f>IF(B9="","",B9*Bedarf!$B$7/1000*$B$3)</f>
        <v/>
      </c>
      <c r="G9" s="7">
        <f>IF(B9="","",Bedarf!$B$8*$B$3)</f>
        <v/>
      </c>
      <c r="H9" s="7">
        <f>IF(B9="","",F9+G9)</f>
        <v/>
      </c>
    </row>
    <row r="10">
      <c r="A10" s="4" t="n"/>
      <c r="B10" s="4" t="n"/>
      <c r="C10" s="5">
        <f>IF(B10="","",B10*Bedarf!$B$6*Bedarf!$B$5)</f>
        <v/>
      </c>
      <c r="D10" s="10">
        <f>IF(B10="","",C10/2000)</f>
        <v/>
      </c>
      <c r="E10" s="6">
        <f>IF(B10="","",D10*Lebensmittel!$D$13*$B$3/10)</f>
        <v/>
      </c>
      <c r="F10" s="7">
        <f>IF(B10="","",B10*Bedarf!$B$7/1000*$B$3)</f>
        <v/>
      </c>
      <c r="G10" s="7">
        <f>IF(B10="","",Bedarf!$B$8*$B$3)</f>
        <v/>
      </c>
      <c r="H10" s="7">
        <f>IF(B10="","",F10+G10)</f>
        <v/>
      </c>
    </row>
    <row r="11">
      <c r="A11" s="4" t="n"/>
      <c r="B11" s="4" t="n"/>
      <c r="C11" s="5">
        <f>IF(B11="","",B11*Bedarf!$B$6*Bedarf!$B$5)</f>
        <v/>
      </c>
      <c r="D11" s="10">
        <f>IF(B11="","",C11/2000)</f>
        <v/>
      </c>
      <c r="E11" s="6">
        <f>IF(B11="","",D11*Lebensmittel!$D$13*$B$3/10)</f>
        <v/>
      </c>
      <c r="F11" s="7">
        <f>IF(B11="","",B11*Bedarf!$B$7/1000*$B$3)</f>
        <v/>
      </c>
      <c r="G11" s="7">
        <f>IF(B11="","",Bedarf!$B$8*$B$3)</f>
        <v/>
      </c>
      <c r="H11" s="7">
        <f>IF(B11="","",F11+G11)</f>
        <v/>
      </c>
    </row>
    <row r="12">
      <c r="A12" s="4" t="n"/>
      <c r="B12" s="4" t="n"/>
      <c r="C12" s="5">
        <f>IF(B12="","",B12*Bedarf!$B$6*Bedarf!$B$5)</f>
        <v/>
      </c>
      <c r="D12" s="10">
        <f>IF(B12="","",C12/2000)</f>
        <v/>
      </c>
      <c r="E12" s="6">
        <f>IF(B12="","",D12*Lebensmittel!$D$13*$B$3/10)</f>
        <v/>
      </c>
      <c r="F12" s="7">
        <f>IF(B12="","",B12*Bedarf!$B$7/1000*$B$3)</f>
        <v/>
      </c>
      <c r="G12" s="7">
        <f>IF(B12="","",Bedarf!$B$8*$B$3)</f>
        <v/>
      </c>
      <c r="H12" s="7">
        <f>IF(B12="","",F12+G12)</f>
        <v/>
      </c>
    </row>
    <row r="13">
      <c r="A13" s="4" t="n"/>
      <c r="B13" s="4" t="n"/>
      <c r="C13" s="5">
        <f>IF(B13="","",B13*Bedarf!$B$6*Bedarf!$B$5)</f>
        <v/>
      </c>
      <c r="D13" s="10">
        <f>IF(B13="","",C13/2000)</f>
        <v/>
      </c>
      <c r="E13" s="6">
        <f>IF(B13="","",D13*Lebensmittel!$D$13*$B$3/10)</f>
        <v/>
      </c>
      <c r="F13" s="7">
        <f>IF(B13="","",B13*Bedarf!$B$7/1000*$B$3)</f>
        <v/>
      </c>
      <c r="G13" s="7">
        <f>IF(B13="","",Bedarf!$B$8*$B$3)</f>
        <v/>
      </c>
      <c r="H13" s="7">
        <f>IF(B13="","",F13+G13)</f>
        <v/>
      </c>
    </row>
    <row r="14">
      <c r="A14" s="4" t="n"/>
      <c r="B14" s="4" t="n"/>
      <c r="C14" s="5">
        <f>IF(B14="","",B14*Bedarf!$B$6*Bedarf!$B$5)</f>
        <v/>
      </c>
      <c r="D14" s="10">
        <f>IF(B14="","",C14/2000)</f>
        <v/>
      </c>
      <c r="E14" s="6">
        <f>IF(B14="","",D14*Lebensmittel!$D$13*$B$3/10)</f>
        <v/>
      </c>
      <c r="F14" s="7">
        <f>IF(B14="","",B14*Bedarf!$B$7/1000*$B$3)</f>
        <v/>
      </c>
      <c r="G14" s="7">
        <f>IF(B14="","",Bedarf!$B$8*$B$3)</f>
        <v/>
      </c>
      <c r="H14" s="7">
        <f>IF(B14="","",F14+G14)</f>
        <v/>
      </c>
    </row>
    <row r="15">
      <c r="A15" s="11" t="inlineStr">
        <is>
          <t>Summe</t>
        </is>
      </c>
      <c r="B15" s="12" t="n"/>
      <c r="C15" s="13">
        <f>SUM(C7:C14)</f>
        <v/>
      </c>
      <c r="D15" s="14">
        <f>SUM(D7:D14)</f>
        <v/>
      </c>
      <c r="E15" s="15">
        <f>SUM(E7:E14)</f>
        <v/>
      </c>
      <c r="F15" s="16">
        <f>SUM(F7:F14)</f>
        <v/>
      </c>
      <c r="G15" s="16">
        <f>SUM(G7:G14)</f>
        <v/>
      </c>
      <c r="H15" s="16">
        <f>SUM(H7:H14)</f>
        <v/>
      </c>
    </row>
    <row r="17">
      <c r="A17" t="inlineStr">
        <is>
          <t>Hinweis: Die Lebensmittelmenge pro Person skaliert mit dem Energiebedarf (Faktor = kcal pro Tag / 2.000).</t>
        </is>
      </c>
    </row>
    <row r="18">
      <c r="A18" t="inlineStr">
        <is>
          <t>Trinkwasser: BBK-Richtwert wird über den Körpergewichtsansatz berechnet. Hygienewasser kommt zusätzlich dazu.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2" customWidth="1" min="5" max="5"/>
    <col width="28" customWidth="1" min="6" max="6"/>
  </cols>
  <sheetData>
    <row r="1">
      <c r="A1" s="1" t="inlineStr">
        <is>
          <t>Lebensmittelvorrat (Basis: 2.000 kcal pro Person und Tag, 10 Tage)</t>
        </is>
      </c>
    </row>
    <row r="2">
      <c r="A2" t="inlineStr">
        <is>
          <t>Für Personen mit mehr Energiebedarf skaliert der Haushaltsrechner die Mengen automatisch.</t>
        </is>
      </c>
    </row>
    <row r="4">
      <c r="A4" s="2" t="inlineStr">
        <is>
          <t>Lebensmittel</t>
        </is>
      </c>
      <c r="B4" s="2" t="inlineStr">
        <is>
          <t>Menge</t>
        </is>
      </c>
      <c r="C4" s="2" t="inlineStr">
        <is>
          <t>Einheit</t>
        </is>
      </c>
      <c r="D4" s="2" t="inlineStr">
        <is>
          <t>ca. kg</t>
        </is>
      </c>
      <c r="E4" s="2" t="inlineStr">
        <is>
          <t>ca. kcal</t>
        </is>
      </c>
      <c r="F4" s="2" t="inlineStr">
        <is>
          <t>Anmerkung</t>
        </is>
      </c>
    </row>
    <row r="5">
      <c r="A5" s="3" t="inlineStr">
        <is>
          <t>Reis, Nudeln, Haferflocken</t>
        </is>
      </c>
      <c r="B5" s="10" t="n">
        <v>1.8</v>
      </c>
      <c r="C5" s="3" t="inlineStr">
        <is>
          <t>kg</t>
        </is>
      </c>
      <c r="D5" s="10" t="n">
        <v>1.8</v>
      </c>
      <c r="E5" s="5" t="n">
        <v>6300</v>
      </c>
      <c r="F5" s="3" t="inlineStr">
        <is>
          <t>Grundnahrung, lange haltbar</t>
        </is>
      </c>
    </row>
    <row r="6">
      <c r="A6" s="3" t="inlineStr">
        <is>
          <t>Hülsenfrüchte (Linsen, Bohnen)</t>
        </is>
      </c>
      <c r="B6" s="10" t="n">
        <v>0.7</v>
      </c>
      <c r="C6" s="3" t="inlineStr">
        <is>
          <t>kg</t>
        </is>
      </c>
      <c r="D6" s="10" t="n">
        <v>0.7</v>
      </c>
      <c r="E6" s="5" t="n">
        <v>2400</v>
      </c>
      <c r="F6" s="3" t="inlineStr">
        <is>
          <t>Eiweiß</t>
        </is>
      </c>
    </row>
    <row r="7">
      <c r="A7" s="3" t="inlineStr">
        <is>
          <t>Konserven (Gemüse, Fisch, Fleisch)</t>
        </is>
      </c>
      <c r="B7" s="10" t="n">
        <v>2.5</v>
      </c>
      <c r="C7" s="3" t="inlineStr">
        <is>
          <t>kg</t>
        </is>
      </c>
      <c r="D7" s="10" t="n">
        <v>2.5</v>
      </c>
      <c r="E7" s="5" t="n">
        <v>2500</v>
      </c>
      <c r="F7" s="3" t="inlineStr">
        <is>
          <t>Mit Dosenöffner</t>
        </is>
      </c>
    </row>
    <row r="8">
      <c r="A8" s="3" t="inlineStr">
        <is>
          <t>Speiseöl</t>
        </is>
      </c>
      <c r="B8" s="10" t="n">
        <v>0.35</v>
      </c>
      <c r="C8" s="3" t="inlineStr">
        <is>
          <t>L</t>
        </is>
      </c>
      <c r="D8" s="10" t="n">
        <v>0.32</v>
      </c>
      <c r="E8" s="5" t="n">
        <v>3080</v>
      </c>
      <c r="F8" s="3" t="inlineStr">
        <is>
          <t>Energiedichte</t>
        </is>
      </c>
    </row>
    <row r="9">
      <c r="A9" s="3" t="inlineStr">
        <is>
          <t>Zucker oder Honig</t>
        </is>
      </c>
      <c r="B9" s="10" t="n">
        <v>0.3</v>
      </c>
      <c r="C9" s="3" t="inlineStr">
        <is>
          <t>kg</t>
        </is>
      </c>
      <c r="D9" s="10" t="n">
        <v>0.3</v>
      </c>
      <c r="E9" s="5" t="n">
        <v>1200</v>
      </c>
      <c r="F9" s="3" t="inlineStr">
        <is>
          <t>Schnelle Energie</t>
        </is>
      </c>
    </row>
    <row r="10">
      <c r="A10" s="3" t="inlineStr">
        <is>
          <t>Nüsse, Müsli, Trockenfrüchte</t>
        </is>
      </c>
      <c r="B10" s="10" t="n">
        <v>0.3</v>
      </c>
      <c r="C10" s="3" t="inlineStr">
        <is>
          <t>kg</t>
        </is>
      </c>
      <c r="D10" s="10" t="n">
        <v>0.3</v>
      </c>
      <c r="E10" s="5" t="n">
        <v>1350</v>
      </c>
      <c r="F10" s="3" t="inlineStr">
        <is>
          <t>Snacks</t>
        </is>
      </c>
    </row>
    <row r="11">
      <c r="A11" s="3" t="inlineStr">
        <is>
          <t>H-Milch oder Milchpulver</t>
        </is>
      </c>
      <c r="B11" s="10" t="n">
        <v>2</v>
      </c>
      <c r="C11" s="3" t="inlineStr">
        <is>
          <t>L</t>
        </is>
      </c>
      <c r="D11" s="10" t="n">
        <v>2.06</v>
      </c>
      <c r="E11" s="5" t="n">
        <v>1300</v>
      </c>
      <c r="F11" s="3" t="inlineStr">
        <is>
          <t>Auch zum Kochen</t>
        </is>
      </c>
    </row>
    <row r="12">
      <c r="A12" s="3" t="inlineStr">
        <is>
          <t>Knäckebrot oder Zwieback</t>
        </is>
      </c>
      <c r="B12" s="10" t="n">
        <v>0.5</v>
      </c>
      <c r="C12" s="3" t="inlineStr">
        <is>
          <t>kg</t>
        </is>
      </c>
      <c r="D12" s="10" t="n">
        <v>0.5</v>
      </c>
      <c r="E12" s="5" t="n">
        <v>1750</v>
      </c>
      <c r="F12" s="3" t="inlineStr">
        <is>
          <t>Brot-Ersatz</t>
        </is>
      </c>
    </row>
    <row r="13">
      <c r="A13" s="11" t="inlineStr">
        <is>
          <t>Summe</t>
        </is>
      </c>
      <c r="B13" s="11" t="n"/>
      <c r="C13" s="11" t="n"/>
      <c r="D13" s="14">
        <f>SUM(D5:D12)</f>
        <v/>
      </c>
      <c r="E13" s="13">
        <f>SUM(E5:E12)</f>
        <v/>
      </c>
      <c r="F13" s="11" t="n"/>
    </row>
    <row r="14">
      <c r="A14" s="3" t="inlineStr">
        <is>
          <t>kcal pro Tag</t>
        </is>
      </c>
      <c r="B14" s="3" t="n"/>
      <c r="C14" s="3" t="n"/>
      <c r="D14" s="3" t="n"/>
      <c r="E14" s="5">
        <f>E13/10</f>
        <v/>
      </c>
      <c r="F14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1" customWidth="1" min="3" max="3"/>
    <col width="13" customWidth="1" min="4" max="4"/>
    <col width="12" customWidth="1" min="5" max="5"/>
    <col width="10" customWidth="1" min="6" max="6"/>
    <col width="42" customWidth="1" min="7" max="7"/>
    <col width="10" customWidth="1" min="8" max="8"/>
  </cols>
  <sheetData>
    <row r="1">
      <c r="A1" s="1" t="inlineStr">
        <is>
          <t>Ausrüstung und Haushaltsvorrat</t>
        </is>
      </c>
    </row>
    <row r="2">
      <c r="A2" t="inlineStr">
        <is>
          <t>Gesamt = pro Person × Anzahl Personen (Haushalt!B4) + pro Haushalt. Die Anzahl Personen wird automatisch übernommen.</t>
        </is>
      </c>
    </row>
    <row r="4">
      <c r="A4" s="2" t="inlineStr">
        <is>
          <t>Kategorie</t>
        </is>
      </c>
      <c r="B4" s="2" t="inlineStr">
        <is>
          <t>Artikel</t>
        </is>
      </c>
      <c r="C4" s="2" t="inlineStr">
        <is>
          <t>Pro Person</t>
        </is>
      </c>
      <c r="D4" s="2" t="inlineStr">
        <is>
          <t>Pro Haushalt</t>
        </is>
      </c>
      <c r="E4" s="2" t="inlineStr">
        <is>
          <t>Einheit</t>
        </is>
      </c>
      <c r="F4" s="2" t="inlineStr">
        <is>
          <t>Gesamt</t>
        </is>
      </c>
      <c r="G4" s="2" t="inlineStr">
        <is>
          <t>Hinweis</t>
        </is>
      </c>
      <c r="H4" s="2" t="inlineStr">
        <is>
          <t>Erledigt</t>
        </is>
      </c>
    </row>
    <row r="5">
      <c r="A5" s="3" t="inlineStr">
        <is>
          <t>Wasser-Technik</t>
        </is>
      </c>
      <c r="B5" s="3" t="inlineStr">
        <is>
          <t>Trinkwasser-Kanister (10 L)</t>
        </is>
      </c>
      <c r="C5" s="4" t="n">
        <v>0</v>
      </c>
      <c r="D5" s="4" t="n">
        <v>2</v>
      </c>
      <c r="E5" s="3" t="inlineStr">
        <is>
          <t>Stück</t>
        </is>
      </c>
      <c r="F5" s="3">
        <f>C5*Haushalt!$B$4+D5</f>
        <v/>
      </c>
      <c r="G5" s="3" t="inlineStr">
        <is>
          <t>Wasser getrennt lagern, Ablaufdatum beachten</t>
        </is>
      </c>
      <c r="H5" s="3" t="inlineStr"/>
    </row>
    <row r="6">
      <c r="A6" s="3" t="inlineStr">
        <is>
          <t>Wasser-Technik</t>
        </is>
      </c>
      <c r="B6" s="3" t="inlineStr">
        <is>
          <t>Wasserfilter</t>
        </is>
      </c>
      <c r="C6" s="4" t="n">
        <v>0</v>
      </c>
      <c r="D6" s="4" t="n">
        <v>1</v>
      </c>
      <c r="E6" s="3" t="inlineStr">
        <is>
          <t>Stück</t>
        </is>
      </c>
      <c r="F6" s="3">
        <f>C6*Haushalt!$B$4+D6</f>
        <v/>
      </c>
      <c r="G6" s="3" t="inlineStr">
        <is>
          <t>Für Oberflächen- oder Leitungswasser</t>
        </is>
      </c>
      <c r="H6" s="3" t="inlineStr"/>
    </row>
    <row r="7">
      <c r="A7" s="3" t="inlineStr">
        <is>
          <t>Wasser-Technik</t>
        </is>
      </c>
      <c r="B7" s="3" t="inlineStr">
        <is>
          <t>Entkeimungstabletten</t>
        </is>
      </c>
      <c r="C7" s="4" t="n">
        <v>0</v>
      </c>
      <c r="D7" s="4" t="n">
        <v>1</v>
      </c>
      <c r="E7" s="3" t="inlineStr">
        <is>
          <t>Packung</t>
        </is>
      </c>
      <c r="F7" s="3">
        <f>C7*Haushalt!$B$4+D7</f>
        <v/>
      </c>
      <c r="G7" s="3" t="inlineStr">
        <is>
          <t>Nach Packungsanleitung</t>
        </is>
      </c>
      <c r="H7" s="3" t="inlineStr"/>
    </row>
    <row r="8">
      <c r="A8" s="3" t="inlineStr">
        <is>
          <t>Licht und Strom</t>
        </is>
      </c>
      <c r="B8" s="3" t="inlineStr">
        <is>
          <t>Kurbel-Taschenlampe (Aufzieher)</t>
        </is>
      </c>
      <c r="C8" s="4" t="n">
        <v>1</v>
      </c>
      <c r="D8" s="4" t="n">
        <v>0</v>
      </c>
      <c r="E8" s="3" t="inlineStr">
        <is>
          <t>Stück</t>
        </is>
      </c>
      <c r="F8" s="3">
        <f>C8*Haushalt!$B$4+D8</f>
        <v/>
      </c>
      <c r="G8" s="3" t="inlineStr">
        <is>
          <t>Funktioniert ohne Batterien</t>
        </is>
      </c>
      <c r="H8" s="3" t="inlineStr"/>
    </row>
    <row r="9">
      <c r="A9" s="3" t="inlineStr">
        <is>
          <t>Licht und Strom</t>
        </is>
      </c>
      <c r="B9" s="3" t="inlineStr">
        <is>
          <t>Stirnlampe</t>
        </is>
      </c>
      <c r="C9" s="4" t="n">
        <v>1</v>
      </c>
      <c r="D9" s="4" t="n">
        <v>0</v>
      </c>
      <c r="E9" s="3" t="inlineStr">
        <is>
          <t>Stück</t>
        </is>
      </c>
      <c r="F9" s="3">
        <f>C9*Haushalt!$B$4+D9</f>
        <v/>
      </c>
      <c r="G9" s="3" t="inlineStr">
        <is>
          <t>Hände bleiben frei</t>
        </is>
      </c>
      <c r="H9" s="3" t="inlineStr"/>
    </row>
    <row r="10">
      <c r="A10" s="3" t="inlineStr">
        <is>
          <t>Licht und Strom</t>
        </is>
      </c>
      <c r="B10" s="3" t="inlineStr">
        <is>
          <t>Kurbelradio mit USB-Anschluss</t>
        </is>
      </c>
      <c r="C10" s="4" t="n">
        <v>0</v>
      </c>
      <c r="D10" s="4" t="n">
        <v>1</v>
      </c>
      <c r="E10" s="3" t="inlineStr">
        <is>
          <t>Stück</t>
        </is>
      </c>
      <c r="F10" s="3">
        <f>C10*Haushalt!$B$4+D10</f>
        <v/>
      </c>
      <c r="G10" s="3" t="inlineStr">
        <is>
          <t>Empfang von Warnmeldungen</t>
        </is>
      </c>
      <c r="H10" s="3" t="inlineStr"/>
    </row>
    <row r="11">
      <c r="A11" s="3" t="inlineStr">
        <is>
          <t>Licht und Strom</t>
        </is>
      </c>
      <c r="B11" s="3" t="inlineStr">
        <is>
          <t>Solar-Ladegerät (faltbar, USB)</t>
        </is>
      </c>
      <c r="C11" s="4" t="n">
        <v>0</v>
      </c>
      <c r="D11" s="4" t="n">
        <v>1</v>
      </c>
      <c r="E11" s="3" t="inlineStr">
        <is>
          <t>Stück</t>
        </is>
      </c>
      <c r="F11" s="3">
        <f>C11*Haushalt!$B$4+D11</f>
        <v/>
      </c>
      <c r="G11" s="3" t="inlineStr">
        <is>
          <t>Nur bei Sonne, lädt langsam</t>
        </is>
      </c>
      <c r="H11" s="3" t="inlineStr"/>
    </row>
    <row r="12">
      <c r="A12" s="3" t="inlineStr">
        <is>
          <t>Licht und Strom</t>
        </is>
      </c>
      <c r="B12" s="3" t="inlineStr">
        <is>
          <t>Powerbank (mind. 10.000 mAh)</t>
        </is>
      </c>
      <c r="C12" s="4" t="n">
        <v>1</v>
      </c>
      <c r="D12" s="4" t="n">
        <v>0</v>
      </c>
      <c r="E12" s="3" t="inlineStr">
        <is>
          <t>Stück</t>
        </is>
      </c>
      <c r="F12" s="3">
        <f>C12*Haushalt!$B$4+D12</f>
        <v/>
      </c>
      <c r="G12" s="3" t="inlineStr">
        <is>
          <t>Vorher voll laden</t>
        </is>
      </c>
      <c r="H12" s="3" t="inlineStr"/>
    </row>
    <row r="13">
      <c r="A13" s="3" t="inlineStr">
        <is>
          <t>Licht und Strom</t>
        </is>
      </c>
      <c r="B13" s="3" t="inlineStr">
        <is>
          <t>Batterien AA</t>
        </is>
      </c>
      <c r="C13" s="4" t="n">
        <v>0</v>
      </c>
      <c r="D13" s="4" t="n">
        <v>24</v>
      </c>
      <c r="E13" s="3" t="inlineStr">
        <is>
          <t>Stück</t>
        </is>
      </c>
      <c r="F13" s="3">
        <f>C13*Haushalt!$B$4+D13</f>
        <v/>
      </c>
      <c r="G13" s="3" t="inlineStr">
        <is>
          <t>Für Radio und Lampen</t>
        </is>
      </c>
      <c r="H13" s="3" t="inlineStr"/>
    </row>
    <row r="14">
      <c r="A14" s="3" t="inlineStr">
        <is>
          <t>Licht und Strom</t>
        </is>
      </c>
      <c r="B14" s="3" t="inlineStr">
        <is>
          <t>Batterien AAA</t>
        </is>
      </c>
      <c r="C14" s="4" t="n">
        <v>0</v>
      </c>
      <c r="D14" s="4" t="n">
        <v>12</v>
      </c>
      <c r="E14" s="3" t="inlineStr">
        <is>
          <t>Stück</t>
        </is>
      </c>
      <c r="F14" s="3">
        <f>C14*Haushalt!$B$4+D14</f>
        <v/>
      </c>
      <c r="G14" s="3" t="inlineStr">
        <is>
          <t>Für Stirnlampen und Kleingeräte</t>
        </is>
      </c>
      <c r="H14" s="3" t="inlineStr"/>
    </row>
    <row r="15">
      <c r="A15" s="3" t="inlineStr">
        <is>
          <t>Kochen und Wärme</t>
        </is>
      </c>
      <c r="B15" s="3" t="inlineStr">
        <is>
          <t>Gaskocher</t>
        </is>
      </c>
      <c r="C15" s="4" t="n">
        <v>0</v>
      </c>
      <c r="D15" s="4" t="n">
        <v>1</v>
      </c>
      <c r="E15" s="3" t="inlineStr">
        <is>
          <t>Stück</t>
        </is>
      </c>
      <c r="F15" s="3">
        <f>C15*Haushalt!$B$4+D15</f>
        <v/>
      </c>
      <c r="G15" s="3" t="inlineStr">
        <is>
          <t>Nur im Freien oder gut belüftet</t>
        </is>
      </c>
      <c r="H15" s="3" t="inlineStr"/>
    </row>
    <row r="16">
      <c r="A16" s="3" t="inlineStr">
        <is>
          <t>Kochen und Wärme</t>
        </is>
      </c>
      <c r="B16" s="3" t="inlineStr">
        <is>
          <t>Gaskartuschen</t>
        </is>
      </c>
      <c r="C16" s="4" t="n">
        <v>0</v>
      </c>
      <c r="D16" s="4" t="n">
        <v>6</v>
      </c>
      <c r="E16" s="3" t="inlineStr">
        <is>
          <t>Stück</t>
        </is>
      </c>
      <c r="F16" s="3">
        <f>C16*Haushalt!$B$4+D16</f>
        <v/>
      </c>
      <c r="G16" s="3" t="inlineStr">
        <is>
          <t>Ersatz für den Gaskocher</t>
        </is>
      </c>
      <c r="H16" s="3" t="inlineStr"/>
    </row>
    <row r="17">
      <c r="A17" s="3" t="inlineStr">
        <is>
          <t>Kochen und Wärme</t>
        </is>
      </c>
      <c r="B17" s="3" t="inlineStr">
        <is>
          <t>Trockenbrennstoff-Kocher (z. B. Esbit)</t>
        </is>
      </c>
      <c r="C17" s="4" t="n">
        <v>0</v>
      </c>
      <c r="D17" s="4" t="n">
        <v>1</v>
      </c>
      <c r="E17" s="3" t="inlineStr">
        <is>
          <t>Stück</t>
        </is>
      </c>
      <c r="F17" s="3">
        <f>C17*Haushalt!$B$4+D17</f>
        <v/>
      </c>
      <c r="G17" s="3" t="inlineStr">
        <is>
          <t>Reserve, nur gut belüftet</t>
        </is>
      </c>
      <c r="H17" s="3" t="inlineStr"/>
    </row>
    <row r="18">
      <c r="A18" s="3" t="inlineStr">
        <is>
          <t>Kochen und Wärme</t>
        </is>
      </c>
      <c r="B18" s="3" t="inlineStr">
        <is>
          <t>Trockenbrennstoff-Würfel</t>
        </is>
      </c>
      <c r="C18" s="4" t="n">
        <v>20</v>
      </c>
      <c r="D18" s="4" t="n">
        <v>0</v>
      </c>
      <c r="E18" s="3" t="inlineStr">
        <is>
          <t>Stück</t>
        </is>
      </c>
      <c r="F18" s="3">
        <f>C18*Haushalt!$B$4+D18</f>
        <v/>
      </c>
      <c r="G18" s="3" t="inlineStr">
        <is>
          <t>ca. 2 Würfel pro Mahlzeit</t>
        </is>
      </c>
      <c r="H18" s="3" t="inlineStr"/>
    </row>
    <row r="19">
      <c r="A19" s="3" t="inlineStr">
        <is>
          <t>Kochen und Wärme</t>
        </is>
      </c>
      <c r="B19" s="3" t="inlineStr">
        <is>
          <t>Kochtopf, Geschirr und Besteck</t>
        </is>
      </c>
      <c r="C19" s="4" t="n">
        <v>1</v>
      </c>
      <c r="D19" s="4" t="n">
        <v>0</v>
      </c>
      <c r="E19" s="3" t="inlineStr">
        <is>
          <t>Satz</t>
        </is>
      </c>
      <c r="F19" s="3">
        <f>C19*Haushalt!$B$4+D19</f>
        <v/>
      </c>
      <c r="G19" s="3" t="inlineStr"/>
      <c r="H19" s="3" t="inlineStr"/>
    </row>
    <row r="20">
      <c r="A20" s="3" t="inlineStr">
        <is>
          <t>Kochen und Wärme</t>
        </is>
      </c>
      <c r="B20" s="3" t="inlineStr">
        <is>
          <t>Dosenöffner (manuell)</t>
        </is>
      </c>
      <c r="C20" s="4" t="n">
        <v>0</v>
      </c>
      <c r="D20" s="4" t="n">
        <v>1</v>
      </c>
      <c r="E20" s="3" t="inlineStr">
        <is>
          <t>Stück</t>
        </is>
      </c>
      <c r="F20" s="3">
        <f>C20*Haushalt!$B$4+D20</f>
        <v/>
      </c>
      <c r="G20" s="3" t="inlineStr">
        <is>
          <t>Für Konserven</t>
        </is>
      </c>
      <c r="H20" s="3" t="inlineStr"/>
    </row>
    <row r="21">
      <c r="A21" s="3" t="inlineStr">
        <is>
          <t>Kochen und Wärme</t>
        </is>
      </c>
      <c r="B21" s="3" t="inlineStr">
        <is>
          <t>Feuerzeug</t>
        </is>
      </c>
      <c r="C21" s="4" t="n">
        <v>0</v>
      </c>
      <c r="D21" s="4" t="n">
        <v>2</v>
      </c>
      <c r="E21" s="3" t="inlineStr">
        <is>
          <t>Stück</t>
        </is>
      </c>
      <c r="F21" s="3">
        <f>C21*Haushalt!$B$4+D21</f>
        <v/>
      </c>
      <c r="G21" s="3" t="inlineStr"/>
      <c r="H21" s="3" t="inlineStr"/>
    </row>
    <row r="22">
      <c r="A22" s="3" t="inlineStr">
        <is>
          <t>Kochen und Wärme</t>
        </is>
      </c>
      <c r="B22" s="3" t="inlineStr">
        <is>
          <t>Wasserfeste Streichhölzer</t>
        </is>
      </c>
      <c r="C22" s="4" t="n">
        <v>0</v>
      </c>
      <c r="D22" s="4" t="n">
        <v>2</v>
      </c>
      <c r="E22" s="3" t="inlineStr">
        <is>
          <t>Packung</t>
        </is>
      </c>
      <c r="F22" s="3">
        <f>C22*Haushalt!$B$4+D22</f>
        <v/>
      </c>
      <c r="G22" s="3" t="inlineStr"/>
      <c r="H22" s="3" t="inlineStr"/>
    </row>
    <row r="23">
      <c r="A23" s="3" t="inlineStr">
        <is>
          <t>Kochen und Wärme</t>
        </is>
      </c>
      <c r="B23" s="3" t="inlineStr">
        <is>
          <t>Kerzen</t>
        </is>
      </c>
      <c r="C23" s="4" t="n">
        <v>0</v>
      </c>
      <c r="D23" s="4" t="n">
        <v>10</v>
      </c>
      <c r="E23" s="3" t="inlineStr">
        <is>
          <t>Stück</t>
        </is>
      </c>
      <c r="F23" s="3">
        <f>C23*Haushalt!$B$4+D23</f>
        <v/>
      </c>
      <c r="G23" s="3" t="inlineStr">
        <is>
          <t>Brandgefahr, nie unbeaufsichtigt</t>
        </is>
      </c>
      <c r="H23" s="3" t="inlineStr"/>
    </row>
    <row r="24">
      <c r="A24" s="3" t="inlineStr">
        <is>
          <t>Kochen und Wärme</t>
        </is>
      </c>
      <c r="B24" s="3" t="inlineStr">
        <is>
          <t>Schlafsack oder Decke</t>
        </is>
      </c>
      <c r="C24" s="4" t="n">
        <v>1</v>
      </c>
      <c r="D24" s="4" t="n">
        <v>0</v>
      </c>
      <c r="E24" s="3" t="inlineStr">
        <is>
          <t>Stück</t>
        </is>
      </c>
      <c r="F24" s="3">
        <f>C24*Haushalt!$B$4+D24</f>
        <v/>
      </c>
      <c r="G24" s="3" t="inlineStr"/>
      <c r="H24" s="3" t="inlineStr"/>
    </row>
    <row r="25">
      <c r="A25" s="3" t="inlineStr">
        <is>
          <t>Kochen und Wärme</t>
        </is>
      </c>
      <c r="B25" s="3" t="inlineStr">
        <is>
          <t>Warme Kleidung und feste Schuhe</t>
        </is>
      </c>
      <c r="C25" s="4" t="n">
        <v>1</v>
      </c>
      <c r="D25" s="4" t="n">
        <v>0</v>
      </c>
      <c r="E25" s="3" t="inlineStr">
        <is>
          <t>Satz</t>
        </is>
      </c>
      <c r="F25" s="3">
        <f>C25*Haushalt!$B$4+D25</f>
        <v/>
      </c>
      <c r="G25" s="3" t="inlineStr">
        <is>
          <t>Zusätzlich zur Alltagskleidung</t>
        </is>
      </c>
      <c r="H25" s="3" t="inlineStr"/>
    </row>
    <row r="26">
      <c r="A26" s="3" t="inlineStr">
        <is>
          <t>Kochen und Wärme</t>
        </is>
      </c>
      <c r="B26" s="3" t="inlineStr">
        <is>
          <t>Regenschutz</t>
        </is>
      </c>
      <c r="C26" s="4" t="n">
        <v>1</v>
      </c>
      <c r="D26" s="4" t="n">
        <v>0</v>
      </c>
      <c r="E26" s="3" t="inlineStr">
        <is>
          <t>Stück</t>
        </is>
      </c>
      <c r="F26" s="3">
        <f>C26*Haushalt!$B$4+D26</f>
        <v/>
      </c>
      <c r="G26" s="3" t="inlineStr"/>
      <c r="H26" s="3" t="inlineStr"/>
    </row>
    <row r="27">
      <c r="A27" s="3" t="inlineStr">
        <is>
          <t>Sicherheit</t>
        </is>
      </c>
      <c r="B27" s="3" t="inlineStr">
        <is>
          <t>CO-Melder</t>
        </is>
      </c>
      <c r="C27" s="4" t="n">
        <v>0</v>
      </c>
      <c r="D27" s="4" t="n">
        <v>1</v>
      </c>
      <c r="E27" s="3" t="inlineStr">
        <is>
          <t>Stück</t>
        </is>
      </c>
      <c r="F27" s="3">
        <f>C27*Haushalt!$B$4+D27</f>
        <v/>
      </c>
      <c r="G27" s="3" t="inlineStr">
        <is>
          <t>Warnt vor Kohlenmonoxid</t>
        </is>
      </c>
      <c r="H27" s="3" t="inlineStr"/>
    </row>
    <row r="28">
      <c r="A28" s="3" t="inlineStr">
        <is>
          <t>Sicherheit</t>
        </is>
      </c>
      <c r="B28" s="3" t="inlineStr">
        <is>
          <t>Rauchmelder</t>
        </is>
      </c>
      <c r="C28" s="4" t="n">
        <v>0</v>
      </c>
      <c r="D28" s="4" t="n">
        <v>1</v>
      </c>
      <c r="E28" s="3" t="inlineStr">
        <is>
          <t>Stück</t>
        </is>
      </c>
      <c r="F28" s="3">
        <f>C28*Haushalt!$B$4+D28</f>
        <v/>
      </c>
      <c r="G28" s="3" t="inlineStr">
        <is>
          <t>Pflicht in vielen Wohnungen</t>
        </is>
      </c>
      <c r="H28" s="3" t="inlineStr"/>
    </row>
    <row r="29">
      <c r="A29" s="3" t="inlineStr">
        <is>
          <t>Sicherheit</t>
        </is>
      </c>
      <c r="B29" s="3" t="inlineStr">
        <is>
          <t>Feuerlöscher</t>
        </is>
      </c>
      <c r="C29" s="4" t="n">
        <v>0</v>
      </c>
      <c r="D29" s="4" t="n">
        <v>1</v>
      </c>
      <c r="E29" s="3" t="inlineStr">
        <is>
          <t>Stück</t>
        </is>
      </c>
      <c r="F29" s="3">
        <f>C29*Haushalt!$B$4+D29</f>
        <v/>
      </c>
      <c r="G29" s="3" t="inlineStr"/>
      <c r="H29" s="3" t="inlineStr"/>
    </row>
    <row r="30">
      <c r="A30" s="3" t="inlineStr">
        <is>
          <t>Sicherheit</t>
        </is>
      </c>
      <c r="B30" s="3" t="inlineStr">
        <is>
          <t>Notfalltasche (Rucksack)</t>
        </is>
      </c>
      <c r="C30" s="4" t="n">
        <v>1</v>
      </c>
      <c r="D30" s="4" t="n">
        <v>0</v>
      </c>
      <c r="E30" s="3" t="inlineStr">
        <is>
          <t>Stück</t>
        </is>
      </c>
      <c r="F30" s="3">
        <f>C30*Haushalt!$B$4+D30</f>
        <v/>
      </c>
      <c r="G30" s="3" t="inlineStr">
        <is>
          <t>Griffbereit, mit Dokumentenkopien</t>
        </is>
      </c>
      <c r="H30" s="3" t="inlineStr"/>
    </row>
    <row r="31">
      <c r="A31" s="3" t="inlineStr">
        <is>
          <t>Wasser-Technik</t>
        </is>
      </c>
      <c r="B31" s="3" t="inlineStr">
        <is>
          <t>Multitool</t>
        </is>
      </c>
      <c r="C31" s="4" t="n">
        <v>0</v>
      </c>
      <c r="D31" s="4" t="n">
        <v>1</v>
      </c>
      <c r="E31" s="3" t="inlineStr">
        <is>
          <t>Stück</t>
        </is>
      </c>
      <c r="F31" s="3">
        <f>C31*Haushalt!$B$4+D31</f>
        <v/>
      </c>
      <c r="G31" s="3" t="inlineStr"/>
      <c r="H31" s="3" t="inlineStr"/>
    </row>
    <row r="32">
      <c r="A32" s="3" t="inlineStr">
        <is>
          <t>Wasser-Technik</t>
        </is>
      </c>
      <c r="B32" s="3" t="inlineStr">
        <is>
          <t>Klebeband (Rolle) und Schere</t>
        </is>
      </c>
      <c r="C32" s="4" t="n">
        <v>0</v>
      </c>
      <c r="D32" s="4" t="n">
        <v>1</v>
      </c>
      <c r="E32" s="3" t="inlineStr">
        <is>
          <t>Satz</t>
        </is>
      </c>
      <c r="F32" s="3">
        <f>C32*Haushalt!$B$4+D32</f>
        <v/>
      </c>
      <c r="G32" s="3" t="inlineStr"/>
      <c r="H32" s="3" t="inlineStr"/>
    </row>
    <row r="33">
      <c r="A33" s="3" t="inlineStr">
        <is>
          <t>Wasser-Technik</t>
        </is>
      </c>
      <c r="B33" s="3" t="inlineStr">
        <is>
          <t>Müllbeutel</t>
        </is>
      </c>
      <c r="C33" s="4" t="n">
        <v>0</v>
      </c>
      <c r="D33" s="4" t="n">
        <v>20</v>
      </c>
      <c r="E33" s="3" t="inlineStr">
        <is>
          <t>Stück</t>
        </is>
      </c>
      <c r="F33" s="3">
        <f>C33*Haushalt!$B$4+D33</f>
        <v/>
      </c>
      <c r="G33" s="3" t="inlineStr"/>
      <c r="H33" s="3" t="inlineStr"/>
    </row>
    <row r="34">
      <c r="A34" s="3" t="inlineStr">
        <is>
          <t>Wasser-Technik</t>
        </is>
      </c>
      <c r="B34" s="3" t="inlineStr">
        <is>
          <t>Handschuhe</t>
        </is>
      </c>
      <c r="C34" s="4" t="n">
        <v>0</v>
      </c>
      <c r="D34" s="4" t="n">
        <v>4</v>
      </c>
      <c r="E34" s="3" t="inlineStr">
        <is>
          <t>Paar</t>
        </is>
      </c>
      <c r="F34" s="3">
        <f>C34*Haushalt!$B$4+D34</f>
        <v/>
      </c>
      <c r="G34" s="3" t="inlineStr"/>
      <c r="H34" s="3" t="inlineStr"/>
    </row>
    <row r="35">
      <c r="A35" s="3" t="inlineStr">
        <is>
          <t>Wasser-Technik</t>
        </is>
      </c>
      <c r="B35" s="3" t="inlineStr">
        <is>
          <t>FFP2-Masken</t>
        </is>
      </c>
      <c r="C35" s="4" t="n">
        <v>10</v>
      </c>
      <c r="D35" s="4" t="n">
        <v>0</v>
      </c>
      <c r="E35" s="3" t="inlineStr">
        <is>
          <t>Stück</t>
        </is>
      </c>
      <c r="F35" s="3">
        <f>C35*Haushalt!$B$4+D35</f>
        <v/>
      </c>
      <c r="G35" s="3" t="inlineStr"/>
      <c r="H35" s="3" t="inlineStr"/>
    </row>
    <row r="36">
      <c r="A36" s="3" t="inlineStr">
        <is>
          <t>Wasser-Technik</t>
        </is>
      </c>
      <c r="B36" s="3" t="inlineStr">
        <is>
          <t>Kompass und Karte</t>
        </is>
      </c>
      <c r="C36" s="4" t="n">
        <v>0</v>
      </c>
      <c r="D36" s="4" t="n">
        <v>1</v>
      </c>
      <c r="E36" s="3" t="inlineStr">
        <is>
          <t>Satz</t>
        </is>
      </c>
      <c r="F36" s="3">
        <f>C36*Haushalt!$B$4+D36</f>
        <v/>
      </c>
      <c r="G36" s="3" t="inlineStr">
        <is>
          <t>Falls GPS ausfällt</t>
        </is>
      </c>
      <c r="H36" s="3" t="inlineStr"/>
    </row>
    <row r="37">
      <c r="A37" s="3" t="inlineStr">
        <is>
          <t>Wasser-Technik</t>
        </is>
      </c>
      <c r="B37" s="3" t="inlineStr">
        <is>
          <t>Haustierfutter</t>
        </is>
      </c>
      <c r="C37" s="4" t="n">
        <v>0</v>
      </c>
      <c r="D37" s="4" t="n">
        <v>0</v>
      </c>
      <c r="E37" s="3" t="inlineStr">
        <is>
          <t>nach Bedarf</t>
        </is>
      </c>
      <c r="F37" s="3">
        <f>C37*Haushalt!$B$4+D37</f>
        <v/>
      </c>
      <c r="G37" s="3" t="inlineStr">
        <is>
          <t>Nur bei Haustieren, Menge selbst eintragen</t>
        </is>
      </c>
      <c r="H37" s="3" t="inlineStr"/>
    </row>
    <row r="38">
      <c r="A38" s="3" t="inlineStr">
        <is>
          <t>Gesundheit und Hygiene</t>
        </is>
      </c>
      <c r="B38" s="3" t="inlineStr">
        <is>
          <t>Erste-Hilfe-Set (DIN 13157)</t>
        </is>
      </c>
      <c r="C38" s="4" t="n">
        <v>0</v>
      </c>
      <c r="D38" s="4" t="n">
        <v>1</v>
      </c>
      <c r="E38" s="3" t="inlineStr">
        <is>
          <t>Stück</t>
        </is>
      </c>
      <c r="F38" s="3">
        <f>C38*Haushalt!$B$4+D38</f>
        <v/>
      </c>
      <c r="G38" s="3" t="inlineStr"/>
      <c r="H38" s="3" t="inlineStr"/>
    </row>
    <row r="39">
      <c r="A39" s="3" t="inlineStr">
        <is>
          <t>Gesundheit und Hygiene</t>
        </is>
      </c>
      <c r="B39" s="3" t="inlineStr">
        <is>
          <t>Medikamente (14 Tage Vorrat)</t>
        </is>
      </c>
      <c r="C39" s="4" t="n">
        <v>1</v>
      </c>
      <c r="D39" s="4" t="n">
        <v>0</v>
      </c>
      <c r="E39" s="3" t="inlineStr">
        <is>
          <t>Satz</t>
        </is>
      </c>
      <c r="F39" s="3">
        <f>C39*Haushalt!$B$4+D39</f>
        <v/>
      </c>
      <c r="G39" s="3" t="inlineStr">
        <is>
          <t>Ärztliche Rücksprache</t>
        </is>
      </c>
      <c r="H39" s="3" t="inlineStr"/>
    </row>
    <row r="40">
      <c r="A40" s="3" t="inlineStr">
        <is>
          <t>Gesundheit und Hygiene</t>
        </is>
      </c>
      <c r="B40" s="3" t="inlineStr">
        <is>
          <t>Hygieneartikel (Seife, Zahnpflege, Feuchttücher)</t>
        </is>
      </c>
      <c r="C40" s="4" t="n">
        <v>1</v>
      </c>
      <c r="D40" s="4" t="n">
        <v>0</v>
      </c>
      <c r="E40" s="3" t="inlineStr">
        <is>
          <t>Satz</t>
        </is>
      </c>
      <c r="F40" s="3">
        <f>C40*Haushalt!$B$4+D40</f>
        <v/>
      </c>
      <c r="G40" s="3" t="inlineStr"/>
      <c r="H40" s="3" t="inlineStr"/>
    </row>
    <row r="41">
      <c r="A41" s="3" t="inlineStr">
        <is>
          <t>Gesundheit und Hygiene</t>
        </is>
      </c>
      <c r="B41" s="3" t="inlineStr">
        <is>
          <t>Toilettenpapier</t>
        </is>
      </c>
      <c r="C41" s="4" t="n">
        <v>8</v>
      </c>
      <c r="D41" s="4" t="n">
        <v>0</v>
      </c>
      <c r="E41" s="3" t="inlineStr">
        <is>
          <t>Rolle</t>
        </is>
      </c>
      <c r="F41" s="3">
        <f>C41*Haushalt!$B$4+D41</f>
        <v/>
      </c>
      <c r="G41" s="3" t="inlineStr"/>
      <c r="H41" s="3" t="inlineStr"/>
    </row>
    <row r="42">
      <c r="A42" s="3" t="inlineStr">
        <is>
          <t>Gesundheit und Hygiene</t>
        </is>
      </c>
      <c r="B42" s="3" t="inlineStr">
        <is>
          <t>Desinfektionsmittel</t>
        </is>
      </c>
      <c r="C42" s="4" t="n">
        <v>0</v>
      </c>
      <c r="D42" s="4" t="n">
        <v>1</v>
      </c>
      <c r="E42" s="3" t="inlineStr">
        <is>
          <t>Flasche</t>
        </is>
      </c>
      <c r="F42" s="3">
        <f>C42*Haushalt!$B$4+D42</f>
        <v/>
      </c>
      <c r="G42" s="3" t="inlineStr"/>
      <c r="H42" s="3" t="inlineStr"/>
    </row>
    <row r="43">
      <c r="A43" s="3" t="inlineStr">
        <is>
          <t>Dokumente und Geld</t>
        </is>
      </c>
      <c r="B43" s="3" t="inlineStr">
        <is>
          <t>Bargeld in kleinen Scheinen</t>
        </is>
      </c>
      <c r="C43" s="4" t="n">
        <v>0</v>
      </c>
      <c r="D43" s="4" t="n">
        <v>1</v>
      </c>
      <c r="E43" s="3" t="inlineStr">
        <is>
          <t>Satz</t>
        </is>
      </c>
      <c r="F43" s="3">
        <f>C43*Haushalt!$B$4+D43</f>
        <v/>
      </c>
      <c r="G43" s="3" t="inlineStr">
        <is>
          <t>Kartenzahlung kann ausfallen</t>
        </is>
      </c>
      <c r="H43" s="3" t="inlineStr"/>
    </row>
    <row r="44">
      <c r="A44" s="3" t="inlineStr">
        <is>
          <t>Dokumente und Geld</t>
        </is>
      </c>
      <c r="B44" s="3" t="inlineStr">
        <is>
          <t>Kopien von Ausweis, Impfpass, Versicherung</t>
        </is>
      </c>
      <c r="C44" s="4" t="n">
        <v>1</v>
      </c>
      <c r="D44" s="4" t="n">
        <v>0</v>
      </c>
      <c r="E44" s="3" t="inlineStr">
        <is>
          <t>Satz</t>
        </is>
      </c>
      <c r="F44" s="3">
        <f>C44*Haushalt!$B$4+D44</f>
        <v/>
      </c>
      <c r="G44" s="3" t="inlineStr">
        <is>
          <t>In wasserdichter Hülle</t>
        </is>
      </c>
      <c r="H4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20" customWidth="1" min="4" max="4"/>
    <col width="14" customWidth="1" min="5" max="5"/>
    <col width="10" customWidth="1" min="6" max="6"/>
  </cols>
  <sheetData>
    <row r="1">
      <c r="A1" s="1" t="inlineStr">
        <is>
          <t>Einkaufsliste mit Kosten</t>
        </is>
      </c>
    </row>
    <row r="2">
      <c r="A2" t="inlineStr">
        <is>
          <t>Preis je Einheit eintragen (gelbe Felder). Die Summe wird automatisch berechnet.</t>
        </is>
      </c>
    </row>
    <row r="4">
      <c r="A4" s="2" t="inlineStr">
        <is>
          <t>Artikel</t>
        </is>
      </c>
      <c r="B4" s="2" t="inlineStr">
        <is>
          <t>Menge</t>
        </is>
      </c>
      <c r="C4" s="2" t="inlineStr">
        <is>
          <t>Einheit</t>
        </is>
      </c>
      <c r="D4" s="2" t="inlineStr">
        <is>
          <t>Preis je Einheit (€)</t>
        </is>
      </c>
      <c r="E4" s="2" t="inlineStr">
        <is>
          <t>Summe (€)</t>
        </is>
      </c>
      <c r="F4" s="2" t="inlineStr">
        <is>
          <t>Erledigt</t>
        </is>
      </c>
    </row>
    <row r="5">
      <c r="A5" s="3" t="inlineStr">
        <is>
          <t>Reis, Nudeln, Haferflocken</t>
        </is>
      </c>
      <c r="B5" s="6">
        <f>Lebensmittel!B5*SUM(Haushalt!$D$7:$D$14)*Haushalt!$B$3/10</f>
        <v/>
      </c>
      <c r="C5" s="3" t="inlineStr">
        <is>
          <t>kg</t>
        </is>
      </c>
      <c r="D5" s="4" t="n"/>
      <c r="E5" s="17">
        <f>IF(D5="","",B5*D5)</f>
        <v/>
      </c>
      <c r="F5" s="3" t="n"/>
    </row>
    <row r="6">
      <c r="A6" s="3" t="inlineStr">
        <is>
          <t>Hülsenfrüchte (Linsen, Bohnen)</t>
        </is>
      </c>
      <c r="B6" s="6">
        <f>Lebensmittel!B6*SUM(Haushalt!$D$7:$D$14)*Haushalt!$B$3/10</f>
        <v/>
      </c>
      <c r="C6" s="3" t="inlineStr">
        <is>
          <t>kg</t>
        </is>
      </c>
      <c r="D6" s="4" t="n"/>
      <c r="E6" s="17">
        <f>IF(D6="","",B6*D6)</f>
        <v/>
      </c>
      <c r="F6" s="3" t="n"/>
    </row>
    <row r="7">
      <c r="A7" s="3" t="inlineStr">
        <is>
          <t>Konserven (Gemüse, Fisch, Fleisch)</t>
        </is>
      </c>
      <c r="B7" s="6">
        <f>Lebensmittel!B7*SUM(Haushalt!$D$7:$D$14)*Haushalt!$B$3/10</f>
        <v/>
      </c>
      <c r="C7" s="3" t="inlineStr">
        <is>
          <t>kg</t>
        </is>
      </c>
      <c r="D7" s="4" t="n"/>
      <c r="E7" s="17">
        <f>IF(D7="","",B7*D7)</f>
        <v/>
      </c>
      <c r="F7" s="3" t="n"/>
    </row>
    <row r="8">
      <c r="A8" s="3" t="inlineStr">
        <is>
          <t>Speiseöl</t>
        </is>
      </c>
      <c r="B8" s="6">
        <f>Lebensmittel!B8*SUM(Haushalt!$D$7:$D$14)*Haushalt!$B$3/10</f>
        <v/>
      </c>
      <c r="C8" s="3" t="inlineStr">
        <is>
          <t>L</t>
        </is>
      </c>
      <c r="D8" s="4" t="n"/>
      <c r="E8" s="17">
        <f>IF(D8="","",B8*D8)</f>
        <v/>
      </c>
      <c r="F8" s="3" t="n"/>
    </row>
    <row r="9">
      <c r="A9" s="3" t="inlineStr">
        <is>
          <t>Zucker oder Honig</t>
        </is>
      </c>
      <c r="B9" s="6">
        <f>Lebensmittel!B9*SUM(Haushalt!$D$7:$D$14)*Haushalt!$B$3/10</f>
        <v/>
      </c>
      <c r="C9" s="3" t="inlineStr">
        <is>
          <t>kg</t>
        </is>
      </c>
      <c r="D9" s="4" t="n"/>
      <c r="E9" s="17">
        <f>IF(D9="","",B9*D9)</f>
        <v/>
      </c>
      <c r="F9" s="3" t="n"/>
    </row>
    <row r="10">
      <c r="A10" s="3" t="inlineStr">
        <is>
          <t>Nüsse, Müsli, Trockenfrüchte</t>
        </is>
      </c>
      <c r="B10" s="6">
        <f>Lebensmittel!B10*SUM(Haushalt!$D$7:$D$14)*Haushalt!$B$3/10</f>
        <v/>
      </c>
      <c r="C10" s="3" t="inlineStr">
        <is>
          <t>kg</t>
        </is>
      </c>
      <c r="D10" s="4" t="n"/>
      <c r="E10" s="17">
        <f>IF(D10="","",B10*D10)</f>
        <v/>
      </c>
      <c r="F10" s="3" t="n"/>
    </row>
    <row r="11">
      <c r="A11" s="3" t="inlineStr">
        <is>
          <t>H-Milch oder Milchpulver</t>
        </is>
      </c>
      <c r="B11" s="6">
        <f>Lebensmittel!B11*SUM(Haushalt!$D$7:$D$14)*Haushalt!$B$3/10</f>
        <v/>
      </c>
      <c r="C11" s="3" t="inlineStr">
        <is>
          <t>L</t>
        </is>
      </c>
      <c r="D11" s="4" t="n"/>
      <c r="E11" s="17">
        <f>IF(D11="","",B11*D11)</f>
        <v/>
      </c>
      <c r="F11" s="3" t="n"/>
    </row>
    <row r="12">
      <c r="A12" s="3" t="inlineStr">
        <is>
          <t>Knäckebrot oder Zwieback</t>
        </is>
      </c>
      <c r="B12" s="6">
        <f>Lebensmittel!B12*SUM(Haushalt!$D$7:$D$14)*Haushalt!$B$3/10</f>
        <v/>
      </c>
      <c r="C12" s="3" t="inlineStr">
        <is>
          <t>kg</t>
        </is>
      </c>
      <c r="D12" s="4" t="n"/>
      <c r="E12" s="17">
        <f>IF(D12="","",B12*D12)</f>
        <v/>
      </c>
      <c r="F12" s="3" t="n"/>
    </row>
    <row r="13">
      <c r="A13" s="3">
        <f>Ausruestung!B5</f>
        <v/>
      </c>
      <c r="B13" s="3">
        <f>Ausruestung!F5</f>
        <v/>
      </c>
      <c r="C13" s="3">
        <f>Ausruestung!E5</f>
        <v/>
      </c>
      <c r="D13" s="4" t="n"/>
      <c r="E13" s="17">
        <f>IF(D13="","",B13*D13)</f>
        <v/>
      </c>
      <c r="F13" s="3" t="n"/>
    </row>
    <row r="14">
      <c r="A14" s="3">
        <f>Ausruestung!B6</f>
        <v/>
      </c>
      <c r="B14" s="3">
        <f>Ausruestung!F6</f>
        <v/>
      </c>
      <c r="C14" s="3">
        <f>Ausruestung!E6</f>
        <v/>
      </c>
      <c r="D14" s="4" t="n"/>
      <c r="E14" s="17">
        <f>IF(D14="","",B14*D14)</f>
        <v/>
      </c>
      <c r="F14" s="3" t="n"/>
    </row>
    <row r="15">
      <c r="A15" s="3">
        <f>Ausruestung!B7</f>
        <v/>
      </c>
      <c r="B15" s="3">
        <f>Ausruestung!F7</f>
        <v/>
      </c>
      <c r="C15" s="3">
        <f>Ausruestung!E7</f>
        <v/>
      </c>
      <c r="D15" s="4" t="n"/>
      <c r="E15" s="17">
        <f>IF(D15="","",B15*D15)</f>
        <v/>
      </c>
      <c r="F15" s="3" t="n"/>
    </row>
    <row r="16">
      <c r="A16" s="3">
        <f>Ausruestung!B8</f>
        <v/>
      </c>
      <c r="B16" s="3">
        <f>Ausruestung!F8</f>
        <v/>
      </c>
      <c r="C16" s="3">
        <f>Ausruestung!E8</f>
        <v/>
      </c>
      <c r="D16" s="4" t="n"/>
      <c r="E16" s="17">
        <f>IF(D16="","",B16*D16)</f>
        <v/>
      </c>
      <c r="F16" s="3" t="n"/>
    </row>
    <row r="17">
      <c r="A17" s="3">
        <f>Ausruestung!B9</f>
        <v/>
      </c>
      <c r="B17" s="3">
        <f>Ausruestung!F9</f>
        <v/>
      </c>
      <c r="C17" s="3">
        <f>Ausruestung!E9</f>
        <v/>
      </c>
      <c r="D17" s="4" t="n"/>
      <c r="E17" s="17">
        <f>IF(D17="","",B17*D17)</f>
        <v/>
      </c>
      <c r="F17" s="3" t="n"/>
    </row>
    <row r="18">
      <c r="A18" s="3">
        <f>Ausruestung!B10</f>
        <v/>
      </c>
      <c r="B18" s="3">
        <f>Ausruestung!F10</f>
        <v/>
      </c>
      <c r="C18" s="3">
        <f>Ausruestung!E10</f>
        <v/>
      </c>
      <c r="D18" s="4" t="n"/>
      <c r="E18" s="17">
        <f>IF(D18="","",B18*D18)</f>
        <v/>
      </c>
      <c r="F18" s="3" t="n"/>
    </row>
    <row r="19">
      <c r="A19" s="3">
        <f>Ausruestung!B11</f>
        <v/>
      </c>
      <c r="B19" s="3">
        <f>Ausruestung!F11</f>
        <v/>
      </c>
      <c r="C19" s="3">
        <f>Ausruestung!E11</f>
        <v/>
      </c>
      <c r="D19" s="4" t="n"/>
      <c r="E19" s="17">
        <f>IF(D19="","",B19*D19)</f>
        <v/>
      </c>
      <c r="F19" s="3" t="n"/>
    </row>
    <row r="20">
      <c r="A20" s="3">
        <f>Ausruestung!B12</f>
        <v/>
      </c>
      <c r="B20" s="3">
        <f>Ausruestung!F12</f>
        <v/>
      </c>
      <c r="C20" s="3">
        <f>Ausruestung!E12</f>
        <v/>
      </c>
      <c r="D20" s="4" t="n"/>
      <c r="E20" s="17">
        <f>IF(D20="","",B20*D20)</f>
        <v/>
      </c>
      <c r="F20" s="3" t="n"/>
    </row>
    <row r="21">
      <c r="A21" s="3">
        <f>Ausruestung!B13</f>
        <v/>
      </c>
      <c r="B21" s="3">
        <f>Ausruestung!F13</f>
        <v/>
      </c>
      <c r="C21" s="3">
        <f>Ausruestung!E13</f>
        <v/>
      </c>
      <c r="D21" s="4" t="n"/>
      <c r="E21" s="17">
        <f>IF(D21="","",B21*D21)</f>
        <v/>
      </c>
      <c r="F21" s="3" t="n"/>
    </row>
    <row r="22">
      <c r="A22" s="3">
        <f>Ausruestung!B14</f>
        <v/>
      </c>
      <c r="B22" s="3">
        <f>Ausruestung!F14</f>
        <v/>
      </c>
      <c r="C22" s="3">
        <f>Ausruestung!E14</f>
        <v/>
      </c>
      <c r="D22" s="4" t="n"/>
      <c r="E22" s="17">
        <f>IF(D22="","",B22*D22)</f>
        <v/>
      </c>
      <c r="F22" s="3" t="n"/>
    </row>
    <row r="23">
      <c r="A23" s="3">
        <f>Ausruestung!B15</f>
        <v/>
      </c>
      <c r="B23" s="3">
        <f>Ausruestung!F15</f>
        <v/>
      </c>
      <c r="C23" s="3">
        <f>Ausruestung!E15</f>
        <v/>
      </c>
      <c r="D23" s="4" t="n"/>
      <c r="E23" s="17">
        <f>IF(D23="","",B23*D23)</f>
        <v/>
      </c>
      <c r="F23" s="3" t="n"/>
    </row>
    <row r="24">
      <c r="A24" s="3">
        <f>Ausruestung!B16</f>
        <v/>
      </c>
      <c r="B24" s="3">
        <f>Ausruestung!F16</f>
        <v/>
      </c>
      <c r="C24" s="3">
        <f>Ausruestung!E16</f>
        <v/>
      </c>
      <c r="D24" s="4" t="n"/>
      <c r="E24" s="17">
        <f>IF(D24="","",B24*D24)</f>
        <v/>
      </c>
      <c r="F24" s="3" t="n"/>
    </row>
    <row r="25">
      <c r="A25" s="3">
        <f>Ausruestung!B17</f>
        <v/>
      </c>
      <c r="B25" s="3">
        <f>Ausruestung!F17</f>
        <v/>
      </c>
      <c r="C25" s="3">
        <f>Ausruestung!E17</f>
        <v/>
      </c>
      <c r="D25" s="4" t="n"/>
      <c r="E25" s="17">
        <f>IF(D25="","",B25*D25)</f>
        <v/>
      </c>
      <c r="F25" s="3" t="n"/>
    </row>
    <row r="26">
      <c r="A26" s="3">
        <f>Ausruestung!B18</f>
        <v/>
      </c>
      <c r="B26" s="3">
        <f>Ausruestung!F18</f>
        <v/>
      </c>
      <c r="C26" s="3">
        <f>Ausruestung!E18</f>
        <v/>
      </c>
      <c r="D26" s="4" t="n"/>
      <c r="E26" s="17">
        <f>IF(D26="","",B26*D26)</f>
        <v/>
      </c>
      <c r="F26" s="3" t="n"/>
    </row>
    <row r="27">
      <c r="A27" s="3">
        <f>Ausruestung!B19</f>
        <v/>
      </c>
      <c r="B27" s="3">
        <f>Ausruestung!F19</f>
        <v/>
      </c>
      <c r="C27" s="3">
        <f>Ausruestung!E19</f>
        <v/>
      </c>
      <c r="D27" s="4" t="n"/>
      <c r="E27" s="17">
        <f>IF(D27="","",B27*D27)</f>
        <v/>
      </c>
      <c r="F27" s="3" t="n"/>
    </row>
    <row r="28">
      <c r="A28" s="3">
        <f>Ausruestung!B20</f>
        <v/>
      </c>
      <c r="B28" s="3">
        <f>Ausruestung!F20</f>
        <v/>
      </c>
      <c r="C28" s="3">
        <f>Ausruestung!E20</f>
        <v/>
      </c>
      <c r="D28" s="4" t="n"/>
      <c r="E28" s="17">
        <f>IF(D28="","",B28*D28)</f>
        <v/>
      </c>
      <c r="F28" s="3" t="n"/>
    </row>
    <row r="29">
      <c r="A29" s="3">
        <f>Ausruestung!B21</f>
        <v/>
      </c>
      <c r="B29" s="3">
        <f>Ausruestung!F21</f>
        <v/>
      </c>
      <c r="C29" s="3">
        <f>Ausruestung!E21</f>
        <v/>
      </c>
      <c r="D29" s="4" t="n"/>
      <c r="E29" s="17">
        <f>IF(D29="","",B29*D29)</f>
        <v/>
      </c>
      <c r="F29" s="3" t="n"/>
    </row>
    <row r="30">
      <c r="A30" s="3">
        <f>Ausruestung!B22</f>
        <v/>
      </c>
      <c r="B30" s="3">
        <f>Ausruestung!F22</f>
        <v/>
      </c>
      <c r="C30" s="3">
        <f>Ausruestung!E22</f>
        <v/>
      </c>
      <c r="D30" s="4" t="n"/>
      <c r="E30" s="17">
        <f>IF(D30="","",B30*D30)</f>
        <v/>
      </c>
      <c r="F30" s="3" t="n"/>
    </row>
    <row r="31">
      <c r="A31" s="3">
        <f>Ausruestung!B23</f>
        <v/>
      </c>
      <c r="B31" s="3">
        <f>Ausruestung!F23</f>
        <v/>
      </c>
      <c r="C31" s="3">
        <f>Ausruestung!E23</f>
        <v/>
      </c>
      <c r="D31" s="4" t="n"/>
      <c r="E31" s="17">
        <f>IF(D31="","",B31*D31)</f>
        <v/>
      </c>
      <c r="F31" s="3" t="n"/>
    </row>
    <row r="32">
      <c r="A32" s="3">
        <f>Ausruestung!B24</f>
        <v/>
      </c>
      <c r="B32" s="3">
        <f>Ausruestung!F24</f>
        <v/>
      </c>
      <c r="C32" s="3">
        <f>Ausruestung!E24</f>
        <v/>
      </c>
      <c r="D32" s="4" t="n"/>
      <c r="E32" s="17">
        <f>IF(D32="","",B32*D32)</f>
        <v/>
      </c>
      <c r="F32" s="3" t="n"/>
    </row>
    <row r="33">
      <c r="A33" s="3">
        <f>Ausruestung!B25</f>
        <v/>
      </c>
      <c r="B33" s="3">
        <f>Ausruestung!F25</f>
        <v/>
      </c>
      <c r="C33" s="3">
        <f>Ausruestung!E25</f>
        <v/>
      </c>
      <c r="D33" s="4" t="n"/>
      <c r="E33" s="17">
        <f>IF(D33="","",B33*D33)</f>
        <v/>
      </c>
      <c r="F33" s="3" t="n"/>
    </row>
    <row r="34">
      <c r="A34" s="3">
        <f>Ausruestung!B26</f>
        <v/>
      </c>
      <c r="B34" s="3">
        <f>Ausruestung!F26</f>
        <v/>
      </c>
      <c r="C34" s="3">
        <f>Ausruestung!E26</f>
        <v/>
      </c>
      <c r="D34" s="4" t="n"/>
      <c r="E34" s="17">
        <f>IF(D34="","",B34*D34)</f>
        <v/>
      </c>
      <c r="F34" s="3" t="n"/>
    </row>
    <row r="35">
      <c r="A35" s="3">
        <f>Ausruestung!B27</f>
        <v/>
      </c>
      <c r="B35" s="3">
        <f>Ausruestung!F27</f>
        <v/>
      </c>
      <c r="C35" s="3">
        <f>Ausruestung!E27</f>
        <v/>
      </c>
      <c r="D35" s="4" t="n"/>
      <c r="E35" s="17">
        <f>IF(D35="","",B35*D35)</f>
        <v/>
      </c>
      <c r="F35" s="3" t="n"/>
    </row>
    <row r="36">
      <c r="A36" s="3">
        <f>Ausruestung!B28</f>
        <v/>
      </c>
      <c r="B36" s="3">
        <f>Ausruestung!F28</f>
        <v/>
      </c>
      <c r="C36" s="3">
        <f>Ausruestung!E28</f>
        <v/>
      </c>
      <c r="D36" s="4" t="n"/>
      <c r="E36" s="17">
        <f>IF(D36="","",B36*D36)</f>
        <v/>
      </c>
      <c r="F36" s="3" t="n"/>
    </row>
    <row r="37">
      <c r="A37" s="3">
        <f>Ausruestung!B29</f>
        <v/>
      </c>
      <c r="B37" s="3">
        <f>Ausruestung!F29</f>
        <v/>
      </c>
      <c r="C37" s="3">
        <f>Ausruestung!E29</f>
        <v/>
      </c>
      <c r="D37" s="4" t="n"/>
      <c r="E37" s="17">
        <f>IF(D37="","",B37*D37)</f>
        <v/>
      </c>
      <c r="F37" s="3" t="n"/>
    </row>
    <row r="38">
      <c r="A38" s="3">
        <f>Ausruestung!B30</f>
        <v/>
      </c>
      <c r="B38" s="3">
        <f>Ausruestung!F30</f>
        <v/>
      </c>
      <c r="C38" s="3">
        <f>Ausruestung!E30</f>
        <v/>
      </c>
      <c r="D38" s="4" t="n"/>
      <c r="E38" s="17">
        <f>IF(D38="","",B38*D38)</f>
        <v/>
      </c>
      <c r="F38" s="3" t="n"/>
    </row>
    <row r="39">
      <c r="A39" s="3">
        <f>Ausruestung!B31</f>
        <v/>
      </c>
      <c r="B39" s="3">
        <f>Ausruestung!F31</f>
        <v/>
      </c>
      <c r="C39" s="3">
        <f>Ausruestung!E31</f>
        <v/>
      </c>
      <c r="D39" s="4" t="n"/>
      <c r="E39" s="17">
        <f>IF(D39="","",B39*D39)</f>
        <v/>
      </c>
      <c r="F39" s="3" t="n"/>
    </row>
    <row r="40">
      <c r="A40" s="3">
        <f>Ausruestung!B32</f>
        <v/>
      </c>
      <c r="B40" s="3">
        <f>Ausruestung!F32</f>
        <v/>
      </c>
      <c r="C40" s="3">
        <f>Ausruestung!E32</f>
        <v/>
      </c>
      <c r="D40" s="4" t="n"/>
      <c r="E40" s="17">
        <f>IF(D40="","",B40*D40)</f>
        <v/>
      </c>
      <c r="F40" s="3" t="n"/>
    </row>
    <row r="41">
      <c r="A41" s="3">
        <f>Ausruestung!B33</f>
        <v/>
      </c>
      <c r="B41" s="3">
        <f>Ausruestung!F33</f>
        <v/>
      </c>
      <c r="C41" s="3">
        <f>Ausruestung!E33</f>
        <v/>
      </c>
      <c r="D41" s="4" t="n"/>
      <c r="E41" s="17">
        <f>IF(D41="","",B41*D41)</f>
        <v/>
      </c>
      <c r="F41" s="3" t="n"/>
    </row>
    <row r="42">
      <c r="A42" s="3">
        <f>Ausruestung!B34</f>
        <v/>
      </c>
      <c r="B42" s="3">
        <f>Ausruestung!F34</f>
        <v/>
      </c>
      <c r="C42" s="3">
        <f>Ausruestung!E34</f>
        <v/>
      </c>
      <c r="D42" s="4" t="n"/>
      <c r="E42" s="17">
        <f>IF(D42="","",B42*D42)</f>
        <v/>
      </c>
      <c r="F42" s="3" t="n"/>
    </row>
    <row r="43">
      <c r="A43" s="3">
        <f>Ausruestung!B35</f>
        <v/>
      </c>
      <c r="B43" s="3">
        <f>Ausruestung!F35</f>
        <v/>
      </c>
      <c r="C43" s="3">
        <f>Ausruestung!E35</f>
        <v/>
      </c>
      <c r="D43" s="4" t="n"/>
      <c r="E43" s="17">
        <f>IF(D43="","",B43*D43)</f>
        <v/>
      </c>
      <c r="F43" s="3" t="n"/>
    </row>
    <row r="44">
      <c r="A44" s="3">
        <f>Ausruestung!B36</f>
        <v/>
      </c>
      <c r="B44" s="3">
        <f>Ausruestung!F36</f>
        <v/>
      </c>
      <c r="C44" s="3">
        <f>Ausruestung!E36</f>
        <v/>
      </c>
      <c r="D44" s="4" t="n"/>
      <c r="E44" s="17">
        <f>IF(D44="","",B44*D44)</f>
        <v/>
      </c>
      <c r="F44" s="3" t="n"/>
    </row>
    <row r="45">
      <c r="A45" s="3">
        <f>Ausruestung!B37</f>
        <v/>
      </c>
      <c r="B45" s="3">
        <f>Ausruestung!F37</f>
        <v/>
      </c>
      <c r="C45" s="3">
        <f>Ausruestung!E37</f>
        <v/>
      </c>
      <c r="D45" s="4" t="n"/>
      <c r="E45" s="17">
        <f>IF(D45="","",B45*D45)</f>
        <v/>
      </c>
      <c r="F45" s="3" t="n"/>
    </row>
    <row r="46">
      <c r="A46" s="3">
        <f>Ausruestung!B38</f>
        <v/>
      </c>
      <c r="B46" s="3">
        <f>Ausruestung!F38</f>
        <v/>
      </c>
      <c r="C46" s="3">
        <f>Ausruestung!E38</f>
        <v/>
      </c>
      <c r="D46" s="4" t="n"/>
      <c r="E46" s="17">
        <f>IF(D46="","",B46*D46)</f>
        <v/>
      </c>
      <c r="F46" s="3" t="n"/>
    </row>
    <row r="47">
      <c r="A47" s="3">
        <f>Ausruestung!B39</f>
        <v/>
      </c>
      <c r="B47" s="3">
        <f>Ausruestung!F39</f>
        <v/>
      </c>
      <c r="C47" s="3">
        <f>Ausruestung!E39</f>
        <v/>
      </c>
      <c r="D47" s="4" t="n"/>
      <c r="E47" s="17">
        <f>IF(D47="","",B47*D47)</f>
        <v/>
      </c>
      <c r="F47" s="3" t="n"/>
    </row>
    <row r="48">
      <c r="A48" s="3">
        <f>Ausruestung!B40</f>
        <v/>
      </c>
      <c r="B48" s="3">
        <f>Ausruestung!F40</f>
        <v/>
      </c>
      <c r="C48" s="3">
        <f>Ausruestung!E40</f>
        <v/>
      </c>
      <c r="D48" s="4" t="n"/>
      <c r="E48" s="17">
        <f>IF(D48="","",B48*D48)</f>
        <v/>
      </c>
      <c r="F48" s="3" t="n"/>
    </row>
    <row r="49">
      <c r="A49" s="3">
        <f>Ausruestung!B41</f>
        <v/>
      </c>
      <c r="B49" s="3">
        <f>Ausruestung!F41</f>
        <v/>
      </c>
      <c r="C49" s="3">
        <f>Ausruestung!E41</f>
        <v/>
      </c>
      <c r="D49" s="4" t="n"/>
      <c r="E49" s="17">
        <f>IF(D49="","",B49*D49)</f>
        <v/>
      </c>
      <c r="F49" s="3" t="n"/>
    </row>
    <row r="50">
      <c r="A50" s="3">
        <f>Ausruestung!B42</f>
        <v/>
      </c>
      <c r="B50" s="3">
        <f>Ausruestung!F42</f>
        <v/>
      </c>
      <c r="C50" s="3">
        <f>Ausruestung!E42</f>
        <v/>
      </c>
      <c r="D50" s="4" t="n"/>
      <c r="E50" s="17">
        <f>IF(D50="","",B50*D50)</f>
        <v/>
      </c>
      <c r="F50" s="3" t="n"/>
    </row>
    <row r="51">
      <c r="A51" s="3">
        <f>Ausruestung!B43</f>
        <v/>
      </c>
      <c r="B51" s="3">
        <f>Ausruestung!F43</f>
        <v/>
      </c>
      <c r="C51" s="3">
        <f>Ausruestung!E43</f>
        <v/>
      </c>
      <c r="D51" s="4" t="n"/>
      <c r="E51" s="17">
        <f>IF(D51="","",B51*D51)</f>
        <v/>
      </c>
      <c r="F51" s="3" t="n"/>
    </row>
    <row r="52">
      <c r="A52" s="3">
        <f>Ausruestung!B44</f>
        <v/>
      </c>
      <c r="B52" s="3">
        <f>Ausruestung!F44</f>
        <v/>
      </c>
      <c r="C52" s="3">
        <f>Ausruestung!E44</f>
        <v/>
      </c>
      <c r="D52" s="4" t="n"/>
      <c r="E52" s="17">
        <f>IF(D52="","",B52*D52)</f>
        <v/>
      </c>
      <c r="F52" s="3" t="n"/>
    </row>
    <row r="53">
      <c r="A53" s="11" t="inlineStr">
        <is>
          <t>Gesamtkosten</t>
        </is>
      </c>
      <c r="B53" s="12" t="n"/>
      <c r="C53" s="12" t="n"/>
      <c r="D53" s="12" t="n"/>
      <c r="E53" s="18">
        <f>SUM(E5:E52)</f>
        <v/>
      </c>
      <c r="F53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Lagerkontrolle mit Ablaufdatum</t>
        </is>
      </c>
    </row>
    <row r="2">
      <c r="A2" t="inlineStr">
        <is>
          <t>Haltbar-bis-Datum eintragen. Status: ok, bald prüfen (&lt;= 90 Tage), ABGELAUFEN.</t>
        </is>
      </c>
    </row>
    <row r="4">
      <c r="A4" s="2" t="inlineStr">
        <is>
          <t>Artikel</t>
        </is>
      </c>
      <c r="B4" s="2" t="inlineStr">
        <is>
          <t>Menge</t>
        </is>
      </c>
      <c r="C4" s="2" t="inlineStr">
        <is>
          <t>Einheit</t>
        </is>
      </c>
      <c r="D4" s="2" t="inlineStr">
        <is>
          <t>Kaufdatum</t>
        </is>
      </c>
      <c r="E4" s="2" t="inlineStr">
        <is>
          <t>Haltbar bis</t>
        </is>
      </c>
      <c r="F4" s="2" t="inlineStr">
        <is>
          <t>Verbleibend (Tage)</t>
        </is>
      </c>
      <c r="G4" s="2" t="inlineStr">
        <is>
          <t>Status</t>
        </is>
      </c>
    </row>
    <row r="5">
      <c r="A5" s="3" t="inlineStr">
        <is>
          <t>Reis, Nudeln, Haferflocken</t>
        </is>
      </c>
      <c r="B5" s="4" t="n"/>
      <c r="C5" s="3" t="inlineStr">
        <is>
          <t>kg</t>
        </is>
      </c>
      <c r="D5" s="19" t="n"/>
      <c r="E5" s="19" t="n"/>
      <c r="F5" s="7">
        <f>IF(E5="","",E5-TODAY())</f>
        <v/>
      </c>
      <c r="G5" s="3">
        <f>IF(E5="","",IF(F5&lt;0,"ABGELAUFEN",IF(F5&lt;=90,"bald prüfen","ok")))</f>
        <v/>
      </c>
    </row>
    <row r="6">
      <c r="A6" s="3" t="inlineStr">
        <is>
          <t>Hülsenfrüchte (Linsen, Bohnen)</t>
        </is>
      </c>
      <c r="B6" s="4" t="n"/>
      <c r="C6" s="3" t="inlineStr">
        <is>
          <t>kg</t>
        </is>
      </c>
      <c r="D6" s="19" t="n"/>
      <c r="E6" s="19" t="n"/>
      <c r="F6" s="7">
        <f>IF(E6="","",E6-TODAY())</f>
        <v/>
      </c>
      <c r="G6" s="3">
        <f>IF(E6="","",IF(F6&lt;0,"ABGELAUFEN",IF(F6&lt;=90,"bald prüfen","ok")))</f>
        <v/>
      </c>
    </row>
    <row r="7">
      <c r="A7" s="3" t="inlineStr">
        <is>
          <t>Konserven (Gemüse, Fisch, Fleisch)</t>
        </is>
      </c>
      <c r="B7" s="4" t="n"/>
      <c r="C7" s="3" t="inlineStr">
        <is>
          <t>kg</t>
        </is>
      </c>
      <c r="D7" s="19" t="n"/>
      <c r="E7" s="19" t="n"/>
      <c r="F7" s="7">
        <f>IF(E7="","",E7-TODAY())</f>
        <v/>
      </c>
      <c r="G7" s="3">
        <f>IF(E7="","",IF(F7&lt;0,"ABGELAUFEN",IF(F7&lt;=90,"bald prüfen","ok")))</f>
        <v/>
      </c>
    </row>
    <row r="8">
      <c r="A8" s="3" t="inlineStr">
        <is>
          <t>Speiseöl</t>
        </is>
      </c>
      <c r="B8" s="4" t="n"/>
      <c r="C8" s="3" t="inlineStr">
        <is>
          <t>L</t>
        </is>
      </c>
      <c r="D8" s="19" t="n"/>
      <c r="E8" s="19" t="n"/>
      <c r="F8" s="7">
        <f>IF(E8="","",E8-TODAY())</f>
        <v/>
      </c>
      <c r="G8" s="3">
        <f>IF(E8="","",IF(F8&lt;0,"ABGELAUFEN",IF(F8&lt;=90,"bald prüfen","ok")))</f>
        <v/>
      </c>
    </row>
    <row r="9">
      <c r="A9" s="3" t="inlineStr">
        <is>
          <t>Zucker oder Honig</t>
        </is>
      </c>
      <c r="B9" s="4" t="n"/>
      <c r="C9" s="3" t="inlineStr">
        <is>
          <t>kg</t>
        </is>
      </c>
      <c r="D9" s="19" t="n"/>
      <c r="E9" s="19" t="n"/>
      <c r="F9" s="7">
        <f>IF(E9="","",E9-TODAY())</f>
        <v/>
      </c>
      <c r="G9" s="3">
        <f>IF(E9="","",IF(F9&lt;0,"ABGELAUFEN",IF(F9&lt;=90,"bald prüfen","ok")))</f>
        <v/>
      </c>
    </row>
    <row r="10">
      <c r="A10" s="3" t="inlineStr">
        <is>
          <t>Nüsse, Müsli, Trockenfrüchte</t>
        </is>
      </c>
      <c r="B10" s="4" t="n"/>
      <c r="C10" s="3" t="inlineStr">
        <is>
          <t>kg</t>
        </is>
      </c>
      <c r="D10" s="19" t="n"/>
      <c r="E10" s="19" t="n"/>
      <c r="F10" s="7">
        <f>IF(E10="","",E10-TODAY())</f>
        <v/>
      </c>
      <c r="G10" s="3">
        <f>IF(E10="","",IF(F10&lt;0,"ABGELAUFEN",IF(F10&lt;=90,"bald prüfen","ok")))</f>
        <v/>
      </c>
    </row>
    <row r="11">
      <c r="A11" s="3" t="inlineStr">
        <is>
          <t>H-Milch oder Milchpulver</t>
        </is>
      </c>
      <c r="B11" s="4" t="n"/>
      <c r="C11" s="3" t="inlineStr">
        <is>
          <t>L</t>
        </is>
      </c>
      <c r="D11" s="19" t="n"/>
      <c r="E11" s="19" t="n"/>
      <c r="F11" s="7">
        <f>IF(E11="","",E11-TODAY())</f>
        <v/>
      </c>
      <c r="G11" s="3">
        <f>IF(E11="","",IF(F11&lt;0,"ABGELAUFEN",IF(F11&lt;=90,"bald prüfen","ok")))</f>
        <v/>
      </c>
    </row>
    <row r="12">
      <c r="A12" s="3" t="inlineStr">
        <is>
          <t>Knäckebrot oder Zwieback</t>
        </is>
      </c>
      <c r="B12" s="4" t="n"/>
      <c r="C12" s="3" t="inlineStr">
        <is>
          <t>kg</t>
        </is>
      </c>
      <c r="D12" s="19" t="n"/>
      <c r="E12" s="19" t="n"/>
      <c r="F12" s="7">
        <f>IF(E12="","",E12-TODAY())</f>
        <v/>
      </c>
      <c r="G12" s="3">
        <f>IF(E12="","",IF(F12&lt;0,"ABGELAUFEN",IF(F12&lt;=90,"bald prüfen","ok")))</f>
        <v/>
      </c>
    </row>
    <row r="13">
      <c r="A13" s="3" t="inlineStr">
        <is>
          <t>Batterien AA</t>
        </is>
      </c>
      <c r="B13" s="4" t="n"/>
      <c r="C13" s="3" t="inlineStr">
        <is>
          <t>Stück</t>
        </is>
      </c>
      <c r="D13" s="19" t="n"/>
      <c r="E13" s="19" t="n"/>
      <c r="F13" s="7">
        <f>IF(E13="","",E13-TODAY())</f>
        <v/>
      </c>
      <c r="G13" s="3">
        <f>IF(E13="","",IF(F13&lt;0,"ABGELAUFEN",IF(F13&lt;=90,"bald prüfen","ok")))</f>
        <v/>
      </c>
    </row>
    <row r="14">
      <c r="A14" s="3" t="inlineStr">
        <is>
          <t>Gaskartuschen</t>
        </is>
      </c>
      <c r="B14" s="4" t="n"/>
      <c r="C14" s="3" t="inlineStr">
        <is>
          <t>Stück</t>
        </is>
      </c>
      <c r="D14" s="19" t="n"/>
      <c r="E14" s="19" t="n"/>
      <c r="F14" s="7">
        <f>IF(E14="","",E14-TODAY())</f>
        <v/>
      </c>
      <c r="G14" s="3">
        <f>IF(E14="","",IF(F14&lt;0,"ABGELAUFEN",IF(F14&lt;=90,"bald prüfen","ok")))</f>
        <v/>
      </c>
    </row>
    <row r="15">
      <c r="A15" s="3" t="inlineStr">
        <is>
          <t>Entkeimungstabletten</t>
        </is>
      </c>
      <c r="B15" s="4" t="n"/>
      <c r="C15" s="3" t="inlineStr">
        <is>
          <t>Packung</t>
        </is>
      </c>
      <c r="D15" s="19" t="n"/>
      <c r="E15" s="19" t="n"/>
      <c r="F15" s="7">
        <f>IF(E15="","",E15-TODAY())</f>
        <v/>
      </c>
      <c r="G15" s="3">
        <f>IF(E15="","",IF(F15&lt;0,"ABGELAUFEN",IF(F15&lt;=90,"bald prüfen","ok")))</f>
        <v/>
      </c>
    </row>
    <row r="16">
      <c r="A16" s="3" t="inlineStr">
        <is>
          <t>Trockenbrennstoff-Würfel</t>
        </is>
      </c>
      <c r="B16" s="4" t="n"/>
      <c r="C16" s="3" t="inlineStr">
        <is>
          <t>Stück</t>
        </is>
      </c>
      <c r="D16" s="19" t="n"/>
      <c r="E16" s="19" t="n"/>
      <c r="F16" s="7">
        <f>IF(E16="","",E16-TODAY())</f>
        <v/>
      </c>
      <c r="G16" s="3">
        <f>IF(E16="","",IF(F16&lt;0,"ABGELAUFEN",IF(F16&lt;=90,"bald prüfen","ok")))</f>
        <v/>
      </c>
    </row>
    <row r="17">
      <c r="A17" s="3" t="inlineStr">
        <is>
          <t>Medikamente (14 Tage Vorrat)</t>
        </is>
      </c>
      <c r="B17" s="4" t="n"/>
      <c r="C17" s="3" t="inlineStr">
        <is>
          <t>Satz</t>
        </is>
      </c>
      <c r="D17" s="19" t="n"/>
      <c r="E17" s="19" t="n"/>
      <c r="F17" s="7">
        <f>IF(E17="","",E17-TODAY())</f>
        <v/>
      </c>
      <c r="G17" s="3">
        <f>IF(E17="","",IF(F17&lt;0,"ABGELAUFEN",IF(F17&lt;=90,"bald prüfen","ok")))</f>
        <v/>
      </c>
    </row>
  </sheetData>
  <conditionalFormatting sqref="G5:G17">
    <cfRule type="expression" priority="1" dxfId="0">
      <formula>$G5="ABGELAUFEN"</formula>
    </cfRule>
    <cfRule type="expression" priority="2" dxfId="2">
      <formula>$G5="bald prüfen"</formula>
    </cfRule>
    <cfRule type="expression" priority="3" dxfId="1">
      <formula>$G5="ok"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Wasser pro Person und Tag (Liter)</t>
        </is>
      </c>
    </row>
    <row r="3">
      <c r="A3" s="2" t="inlineStr">
        <is>
          <t>Maßstab</t>
        </is>
      </c>
      <c r="B3" s="2" t="inlineStr">
        <is>
          <t>Liter pro Tag</t>
        </is>
      </c>
    </row>
    <row r="4">
      <c r="A4" s="3" t="inlineStr">
        <is>
          <t>BBK Trinkwasser (Trinken und Kochen)</t>
        </is>
      </c>
      <c r="B4" s="6" t="n">
        <v>2</v>
      </c>
    </row>
    <row r="5">
      <c r="A5" s="3" t="inlineStr">
        <is>
          <t>Körpergewicht 65 kg</t>
        </is>
      </c>
      <c r="B5" s="6">
        <f>65*Bedarf!B7/1000</f>
        <v/>
      </c>
    </row>
    <row r="6">
      <c r="A6" s="3" t="inlineStr">
        <is>
          <t>Körpergewicht 97,5 kg</t>
        </is>
      </c>
      <c r="B6" s="6">
        <f>97.5*Bedarf!B7/1000</f>
        <v/>
      </c>
    </row>
    <row r="7">
      <c r="A7" s="3" t="inlineStr">
        <is>
          <t>Körpergewicht 130 kg</t>
        </is>
      </c>
      <c r="B7" s="6">
        <f>130*Bedarf!B7/1000</f>
        <v/>
      </c>
    </row>
    <row r="8">
      <c r="A8" s="3" t="inlineStr">
        <is>
          <t>Sphere-Minimum (inkl. Hygiene)</t>
        </is>
      </c>
      <c r="B8" s="6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Quellen und Annahmen</t>
        </is>
      </c>
    </row>
    <row r="3">
      <c r="A3" t="inlineStr">
        <is>
          <t>BBK: Ratgeber für Notfallvorsorge, Empfehlung 10 Tage Vorrat. Trinkwasser ca. 2 L pro Person und Tag.</t>
        </is>
      </c>
    </row>
    <row r="4">
      <c r="A4" t="inlineStr">
        <is>
          <t>Sphere-Standard: Mindestwasser 15 L pro Person und Tag inkl. Hygiene, Mindest-Energie 2.100 kcal pro Tag.</t>
        </is>
      </c>
    </row>
    <row r="5">
      <c r="A5" t="inlineStr">
        <is>
          <t>Annahme: Grundumsatz 24 kcal/kg/Tag, Krisen-Aktivität x1,3 (Bereich 1,2 bis 1,4).</t>
        </is>
      </c>
    </row>
    <row r="6">
      <c r="A6" t="inlineStr">
        <is>
          <t>Annahme: Trinkwasser 35 ml/kg/Tag, Hygienewasser 2 L/Tag.</t>
        </is>
      </c>
    </row>
    <row r="7">
      <c r="A7" t="inlineStr">
        <is>
          <t>Hinweis: Quellen wurden bei der Erstellung nicht online nachgeprüft. Vor dem Ausdruck bitte beim BBK prüfen.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2026-10-27T09:58:41Z</dcterms:created>
  <dcterms:modified xmlns:dcterms="http://purl.org/dc/terms/" xmlns:xsi="http://www.w3.org/2001/XMLSchema-instance" xsi:type="dcterms:W3CDTF">2026-10-27T09:58:41Z</dcterms:modified>
</cp:coreProperties>
</file>