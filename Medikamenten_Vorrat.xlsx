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rat" sheetId="1" state="visible" r:id="rId1"/>
    <sheet xmlns:r="http://schemas.openxmlformats.org/officeDocument/2006/relationships" name="Kühlung" sheetId="2" state="visible" r:id="rId2"/>
    <sheet xmlns:r="http://schemas.openxmlformats.org/officeDocument/2006/relationships" name="Hinweise" sheetId="3" state="visible" r:id="rId3"/>
  </sheets>
  <definedNames>
    <definedName name="_xlnm.Print_Titles" localSheetId="0">'Vorrat'!$4:$4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0" borderId="1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4" customWidth="1" min="4" max="4"/>
    <col width="12" customWidth="1" min="5" max="5"/>
    <col width="13" customWidth="1" min="6" max="6"/>
    <col width="15" customWidth="1" min="7" max="7"/>
    <col width="15" customWidth="1" min="8" max="8"/>
    <col width="15" customWidth="1" min="9" max="9"/>
    <col width="13" customWidth="1" min="10" max="10"/>
    <col width="17" customWidth="1" min="11" max="11"/>
    <col width="17" customWidth="1" min="12" max="12"/>
  </cols>
  <sheetData>
    <row r="1">
      <c r="A1" s="1" t="inlineStr">
        <is>
          <t>Medikamenten-Vorrat pro Person</t>
        </is>
      </c>
    </row>
    <row r="2">
      <c r="A2" s="2" t="inlineStr">
        <is>
          <t>Gelbe Felder ausfüllen. Reichweite, Enddatum und Status werden automatisch berechnet (Stand: heutiges Datum). Angaben ohne Gewähr, bitte mit Arzt und Apotheke abstimmen.</t>
        </is>
      </c>
    </row>
    <row r="4" ht="42" customHeight="1">
      <c r="A4" s="3" t="inlineStr">
        <is>
          <t>Person</t>
        </is>
      </c>
      <c r="B4" s="3" t="inlineStr">
        <is>
          <t>Medikament</t>
        </is>
      </c>
      <c r="C4" s="3" t="inlineStr">
        <is>
          <t>Wirkstoff / Stärke</t>
        </is>
      </c>
      <c r="D4" s="3" t="inlineStr">
        <is>
          <t>Verbrauch pro Tag (Stück)</t>
        </is>
      </c>
      <c r="E4" s="3" t="inlineStr">
        <is>
          <t>Vorrat (Stück)</t>
        </is>
      </c>
      <c r="F4" s="3" t="inlineStr">
        <is>
          <t>Reichweite (Tage)</t>
        </is>
      </c>
      <c r="G4" s="3" t="inlineStr">
        <is>
          <t>Vorrat reicht bis</t>
        </is>
      </c>
      <c r="H4" s="3" t="inlineStr">
        <is>
          <t>Ablaufdatum Packung</t>
        </is>
      </c>
      <c r="I4" s="3" t="inlineStr">
        <is>
          <t>Rezept gültig bis</t>
        </is>
      </c>
      <c r="J4" s="3" t="inlineStr">
        <is>
          <t>Kühlpflicht (ja/nein)</t>
        </is>
      </c>
      <c r="K4" s="3" t="inlineStr">
        <is>
          <t>Status Vorrat</t>
        </is>
      </c>
      <c r="L4" s="3" t="inlineStr">
        <is>
          <t>Status Rezept</t>
        </is>
      </c>
    </row>
    <row r="5">
      <c r="A5" s="4" t="n"/>
      <c r="B5" s="4" t="n"/>
      <c r="C5" s="4" t="n"/>
      <c r="D5" s="4" t="n"/>
      <c r="E5" s="4" t="n"/>
      <c r="F5" s="5">
        <f>IF(OR(D5="",E5=""),"",IF(D5=0,"",E5/D5))</f>
        <v/>
      </c>
      <c r="G5" s="6">
        <f>IF(F5="","",TODAY()+F5)</f>
        <v/>
      </c>
      <c r="H5" s="7" t="n"/>
      <c r="I5" s="7" t="n"/>
      <c r="J5" s="4" t="n"/>
      <c r="K5" s="8">
        <f>IF(B5="","",IF(AND(H5&lt;&gt;"",H5&lt;TODAY()),"ABGELAUFEN",IF(F5="","Verbrauch fehlt",IF(F5&lt;14,"NACHBESTELLEN",IF(F5&lt;30,"bald prüfen","OK")))))</f>
        <v/>
      </c>
      <c r="L5" s="8">
        <f>IF(OR(B5="",I5=""),"",IF(I5&lt;TODAY(),"ABGELAUFEN",IF(I5-TODAY()&lt;30,"Rezept erneuern","OK")))</f>
        <v/>
      </c>
    </row>
    <row r="6">
      <c r="A6" s="4" t="n"/>
      <c r="B6" s="4" t="n"/>
      <c r="C6" s="4" t="n"/>
      <c r="D6" s="4" t="n"/>
      <c r="E6" s="4" t="n"/>
      <c r="F6" s="5">
        <f>IF(OR(D6="",E6=""),"",IF(D6=0,"",E6/D6))</f>
        <v/>
      </c>
      <c r="G6" s="6">
        <f>IF(F6="","",TODAY()+F6)</f>
        <v/>
      </c>
      <c r="H6" s="7" t="n"/>
      <c r="I6" s="7" t="n"/>
      <c r="J6" s="4" t="n"/>
      <c r="K6" s="8">
        <f>IF(B6="","",IF(AND(H6&lt;&gt;"",H6&lt;TODAY()),"ABGELAUFEN",IF(F6="","Verbrauch fehlt",IF(F6&lt;14,"NACHBESTELLEN",IF(F6&lt;30,"bald prüfen","OK")))))</f>
        <v/>
      </c>
      <c r="L6" s="8">
        <f>IF(OR(B6="",I6=""),"",IF(I6&lt;TODAY(),"ABGELAUFEN",IF(I6-TODAY()&lt;30,"Rezept erneuern","OK")))</f>
        <v/>
      </c>
    </row>
    <row r="7">
      <c r="A7" s="4" t="n"/>
      <c r="B7" s="4" t="n"/>
      <c r="C7" s="4" t="n"/>
      <c r="D7" s="4" t="n"/>
      <c r="E7" s="4" t="n"/>
      <c r="F7" s="5">
        <f>IF(OR(D7="",E7=""),"",IF(D7=0,"",E7/D7))</f>
        <v/>
      </c>
      <c r="G7" s="6">
        <f>IF(F7="","",TODAY()+F7)</f>
        <v/>
      </c>
      <c r="H7" s="7" t="n"/>
      <c r="I7" s="7" t="n"/>
      <c r="J7" s="4" t="n"/>
      <c r="K7" s="8">
        <f>IF(B7="","",IF(AND(H7&lt;&gt;"",H7&lt;TODAY()),"ABGELAUFEN",IF(F7="","Verbrauch fehlt",IF(F7&lt;14,"NACHBESTELLEN",IF(F7&lt;30,"bald prüfen","OK")))))</f>
        <v/>
      </c>
      <c r="L7" s="8">
        <f>IF(OR(B7="",I7=""),"",IF(I7&lt;TODAY(),"ABGELAUFEN",IF(I7-TODAY()&lt;30,"Rezept erneuern","OK")))</f>
        <v/>
      </c>
    </row>
    <row r="8">
      <c r="A8" s="4" t="n"/>
      <c r="B8" s="4" t="n"/>
      <c r="C8" s="4" t="n"/>
      <c r="D8" s="4" t="n"/>
      <c r="E8" s="4" t="n"/>
      <c r="F8" s="5">
        <f>IF(OR(D8="",E8=""),"",IF(D8=0,"",E8/D8))</f>
        <v/>
      </c>
      <c r="G8" s="6">
        <f>IF(F8="","",TODAY()+F8)</f>
        <v/>
      </c>
      <c r="H8" s="7" t="n"/>
      <c r="I8" s="7" t="n"/>
      <c r="J8" s="4" t="n"/>
      <c r="K8" s="8">
        <f>IF(B8="","",IF(AND(H8&lt;&gt;"",H8&lt;TODAY()),"ABGELAUFEN",IF(F8="","Verbrauch fehlt",IF(F8&lt;14,"NACHBESTELLEN",IF(F8&lt;30,"bald prüfen","OK")))))</f>
        <v/>
      </c>
      <c r="L8" s="8">
        <f>IF(OR(B8="",I8=""),"",IF(I8&lt;TODAY(),"ABGELAUFEN",IF(I8-TODAY()&lt;30,"Rezept erneuern","OK")))</f>
        <v/>
      </c>
    </row>
    <row r="9">
      <c r="A9" s="4" t="n"/>
      <c r="B9" s="4" t="n"/>
      <c r="C9" s="4" t="n"/>
      <c r="D9" s="4" t="n"/>
      <c r="E9" s="4" t="n"/>
      <c r="F9" s="5">
        <f>IF(OR(D9="",E9=""),"",IF(D9=0,"",E9/D9))</f>
        <v/>
      </c>
      <c r="G9" s="6">
        <f>IF(F9="","",TODAY()+F9)</f>
        <v/>
      </c>
      <c r="H9" s="7" t="n"/>
      <c r="I9" s="7" t="n"/>
      <c r="J9" s="4" t="n"/>
      <c r="K9" s="8">
        <f>IF(B9="","",IF(AND(H9&lt;&gt;"",H9&lt;TODAY()),"ABGELAUFEN",IF(F9="","Verbrauch fehlt",IF(F9&lt;14,"NACHBESTELLEN",IF(F9&lt;30,"bald prüfen","OK")))))</f>
        <v/>
      </c>
      <c r="L9" s="8">
        <f>IF(OR(B9="",I9=""),"",IF(I9&lt;TODAY(),"ABGELAUFEN",IF(I9-TODAY()&lt;30,"Rezept erneuern","OK")))</f>
        <v/>
      </c>
    </row>
    <row r="10">
      <c r="A10" s="4" t="n"/>
      <c r="B10" s="4" t="n"/>
      <c r="C10" s="4" t="n"/>
      <c r="D10" s="4" t="n"/>
      <c r="E10" s="4" t="n"/>
      <c r="F10" s="5">
        <f>IF(OR(D10="",E10=""),"",IF(D10=0,"",E10/D10))</f>
        <v/>
      </c>
      <c r="G10" s="6">
        <f>IF(F10="","",TODAY()+F10)</f>
        <v/>
      </c>
      <c r="H10" s="7" t="n"/>
      <c r="I10" s="7" t="n"/>
      <c r="J10" s="4" t="n"/>
      <c r="K10" s="8">
        <f>IF(B10="","",IF(AND(H10&lt;&gt;"",H10&lt;TODAY()),"ABGELAUFEN",IF(F10="","Verbrauch fehlt",IF(F10&lt;14,"NACHBESTELLEN",IF(F10&lt;30,"bald prüfen","OK")))))</f>
        <v/>
      </c>
      <c r="L10" s="8">
        <f>IF(OR(B10="",I10=""),"",IF(I10&lt;TODAY(),"ABGELAUFEN",IF(I10-TODAY()&lt;30,"Rezept erneuern","OK")))</f>
        <v/>
      </c>
    </row>
    <row r="11">
      <c r="A11" s="4" t="n"/>
      <c r="B11" s="4" t="n"/>
      <c r="C11" s="4" t="n"/>
      <c r="D11" s="4" t="n"/>
      <c r="E11" s="4" t="n"/>
      <c r="F11" s="5">
        <f>IF(OR(D11="",E11=""),"",IF(D11=0,"",E11/D11))</f>
        <v/>
      </c>
      <c r="G11" s="6">
        <f>IF(F11="","",TODAY()+F11)</f>
        <v/>
      </c>
      <c r="H11" s="7" t="n"/>
      <c r="I11" s="7" t="n"/>
      <c r="J11" s="4" t="n"/>
      <c r="K11" s="8">
        <f>IF(B11="","",IF(AND(H11&lt;&gt;"",H11&lt;TODAY()),"ABGELAUFEN",IF(F11="","Verbrauch fehlt",IF(F11&lt;14,"NACHBESTELLEN",IF(F11&lt;30,"bald prüfen","OK")))))</f>
        <v/>
      </c>
      <c r="L11" s="8">
        <f>IF(OR(B11="",I11=""),"",IF(I11&lt;TODAY(),"ABGELAUFEN",IF(I11-TODAY()&lt;30,"Rezept erneuern","OK")))</f>
        <v/>
      </c>
    </row>
    <row r="12">
      <c r="A12" s="4" t="n"/>
      <c r="B12" s="4" t="n"/>
      <c r="C12" s="4" t="n"/>
      <c r="D12" s="4" t="n"/>
      <c r="E12" s="4" t="n"/>
      <c r="F12" s="5">
        <f>IF(OR(D12="",E12=""),"",IF(D12=0,"",E12/D12))</f>
        <v/>
      </c>
      <c r="G12" s="6">
        <f>IF(F12="","",TODAY()+F12)</f>
        <v/>
      </c>
      <c r="H12" s="7" t="n"/>
      <c r="I12" s="7" t="n"/>
      <c r="J12" s="4" t="n"/>
      <c r="K12" s="8">
        <f>IF(B12="","",IF(AND(H12&lt;&gt;"",H12&lt;TODAY()),"ABGELAUFEN",IF(F12="","Verbrauch fehlt",IF(F12&lt;14,"NACHBESTELLEN",IF(F12&lt;30,"bald prüfen","OK")))))</f>
        <v/>
      </c>
      <c r="L12" s="8">
        <f>IF(OR(B12="",I12=""),"",IF(I12&lt;TODAY(),"ABGELAUFEN",IF(I12-TODAY()&lt;30,"Rezept erneuern","OK")))</f>
        <v/>
      </c>
    </row>
    <row r="13">
      <c r="A13" s="4" t="n"/>
      <c r="B13" s="4" t="n"/>
      <c r="C13" s="4" t="n"/>
      <c r="D13" s="4" t="n"/>
      <c r="E13" s="4" t="n"/>
      <c r="F13" s="5">
        <f>IF(OR(D13="",E13=""),"",IF(D13=0,"",E13/D13))</f>
        <v/>
      </c>
      <c r="G13" s="6">
        <f>IF(F13="","",TODAY()+F13)</f>
        <v/>
      </c>
      <c r="H13" s="7" t="n"/>
      <c r="I13" s="7" t="n"/>
      <c r="J13" s="4" t="n"/>
      <c r="K13" s="8">
        <f>IF(B13="","",IF(AND(H13&lt;&gt;"",H13&lt;TODAY()),"ABGELAUFEN",IF(F13="","Verbrauch fehlt",IF(F13&lt;14,"NACHBESTELLEN",IF(F13&lt;30,"bald prüfen","OK")))))</f>
        <v/>
      </c>
      <c r="L13" s="8">
        <f>IF(OR(B13="",I13=""),"",IF(I13&lt;TODAY(),"ABGELAUFEN",IF(I13-TODAY()&lt;30,"Rezept erneuern","OK")))</f>
        <v/>
      </c>
    </row>
    <row r="14">
      <c r="A14" s="4" t="n"/>
      <c r="B14" s="4" t="n"/>
      <c r="C14" s="4" t="n"/>
      <c r="D14" s="4" t="n"/>
      <c r="E14" s="4" t="n"/>
      <c r="F14" s="5">
        <f>IF(OR(D14="",E14=""),"",IF(D14=0,"",E14/D14))</f>
        <v/>
      </c>
      <c r="G14" s="6">
        <f>IF(F14="","",TODAY()+F14)</f>
        <v/>
      </c>
      <c r="H14" s="7" t="n"/>
      <c r="I14" s="7" t="n"/>
      <c r="J14" s="4" t="n"/>
      <c r="K14" s="8">
        <f>IF(B14="","",IF(AND(H14&lt;&gt;"",H14&lt;TODAY()),"ABGELAUFEN",IF(F14="","Verbrauch fehlt",IF(F14&lt;14,"NACHBESTELLEN",IF(F14&lt;30,"bald prüfen","OK")))))</f>
        <v/>
      </c>
      <c r="L14" s="8">
        <f>IF(OR(B14="",I14=""),"",IF(I14&lt;TODAY(),"ABGELAUFEN",IF(I14-TODAY()&lt;30,"Rezept erneuern","OK")))</f>
        <v/>
      </c>
    </row>
    <row r="15">
      <c r="A15" s="4" t="n"/>
      <c r="B15" s="4" t="n"/>
      <c r="C15" s="4" t="n"/>
      <c r="D15" s="4" t="n"/>
      <c r="E15" s="4" t="n"/>
      <c r="F15" s="5">
        <f>IF(OR(D15="",E15=""),"",IF(D15=0,"",E15/D15))</f>
        <v/>
      </c>
      <c r="G15" s="6">
        <f>IF(F15="","",TODAY()+F15)</f>
        <v/>
      </c>
      <c r="H15" s="7" t="n"/>
      <c r="I15" s="7" t="n"/>
      <c r="J15" s="4" t="n"/>
      <c r="K15" s="8">
        <f>IF(B15="","",IF(AND(H15&lt;&gt;"",H15&lt;TODAY()),"ABGELAUFEN",IF(F15="","Verbrauch fehlt",IF(F15&lt;14,"NACHBESTELLEN",IF(F15&lt;30,"bald prüfen","OK")))))</f>
        <v/>
      </c>
      <c r="L15" s="8">
        <f>IF(OR(B15="",I15=""),"",IF(I15&lt;TODAY(),"ABGELAUFEN",IF(I15-TODAY()&lt;30,"Rezept erneuern","OK")))</f>
        <v/>
      </c>
    </row>
    <row r="16">
      <c r="A16" s="4" t="n"/>
      <c r="B16" s="4" t="n"/>
      <c r="C16" s="4" t="n"/>
      <c r="D16" s="4" t="n"/>
      <c r="E16" s="4" t="n"/>
      <c r="F16" s="5">
        <f>IF(OR(D16="",E16=""),"",IF(D16=0,"",E16/D16))</f>
        <v/>
      </c>
      <c r="G16" s="6">
        <f>IF(F16="","",TODAY()+F16)</f>
        <v/>
      </c>
      <c r="H16" s="7" t="n"/>
      <c r="I16" s="7" t="n"/>
      <c r="J16" s="4" t="n"/>
      <c r="K16" s="8">
        <f>IF(B16="","",IF(AND(H16&lt;&gt;"",H16&lt;TODAY()),"ABGELAUFEN",IF(F16="","Verbrauch fehlt",IF(F16&lt;14,"NACHBESTELLEN",IF(F16&lt;30,"bald prüfen","OK")))))</f>
        <v/>
      </c>
      <c r="L16" s="8">
        <f>IF(OR(B16="",I16=""),"",IF(I16&lt;TODAY(),"ABGELAUFEN",IF(I16-TODAY()&lt;30,"Rezept erneuern","OK")))</f>
        <v/>
      </c>
    </row>
    <row r="17">
      <c r="A17" s="4" t="n"/>
      <c r="B17" s="4" t="n"/>
      <c r="C17" s="4" t="n"/>
      <c r="D17" s="4" t="n"/>
      <c r="E17" s="4" t="n"/>
      <c r="F17" s="5">
        <f>IF(OR(D17="",E17=""),"",IF(D17=0,"",E17/D17))</f>
        <v/>
      </c>
      <c r="G17" s="6">
        <f>IF(F17="","",TODAY()+F17)</f>
        <v/>
      </c>
      <c r="H17" s="7" t="n"/>
      <c r="I17" s="7" t="n"/>
      <c r="J17" s="4" t="n"/>
      <c r="K17" s="8">
        <f>IF(B17="","",IF(AND(H17&lt;&gt;"",H17&lt;TODAY()),"ABGELAUFEN",IF(F17="","Verbrauch fehlt",IF(F17&lt;14,"NACHBESTELLEN",IF(F17&lt;30,"bald prüfen","OK")))))</f>
        <v/>
      </c>
      <c r="L17" s="8">
        <f>IF(OR(B17="",I17=""),"",IF(I17&lt;TODAY(),"ABGELAUFEN",IF(I17-TODAY()&lt;30,"Rezept erneuern","OK")))</f>
        <v/>
      </c>
    </row>
    <row r="18">
      <c r="A18" s="4" t="n"/>
      <c r="B18" s="4" t="n"/>
      <c r="C18" s="4" t="n"/>
      <c r="D18" s="4" t="n"/>
      <c r="E18" s="4" t="n"/>
      <c r="F18" s="5">
        <f>IF(OR(D18="",E18=""),"",IF(D18=0,"",E18/D18))</f>
        <v/>
      </c>
      <c r="G18" s="6">
        <f>IF(F18="","",TODAY()+F18)</f>
        <v/>
      </c>
      <c r="H18" s="7" t="n"/>
      <c r="I18" s="7" t="n"/>
      <c r="J18" s="4" t="n"/>
      <c r="K18" s="8">
        <f>IF(B18="","",IF(AND(H18&lt;&gt;"",H18&lt;TODAY()),"ABGELAUFEN",IF(F18="","Verbrauch fehlt",IF(F18&lt;14,"NACHBESTELLEN",IF(F18&lt;30,"bald prüfen","OK")))))</f>
        <v/>
      </c>
      <c r="L18" s="8">
        <f>IF(OR(B18="",I18=""),"",IF(I18&lt;TODAY(),"ABGELAUFEN",IF(I18-TODAY()&lt;30,"Rezept erneuern","OK")))</f>
        <v/>
      </c>
    </row>
    <row r="19">
      <c r="A19" s="4" t="n"/>
      <c r="B19" s="4" t="n"/>
      <c r="C19" s="4" t="n"/>
      <c r="D19" s="4" t="n"/>
      <c r="E19" s="4" t="n"/>
      <c r="F19" s="5">
        <f>IF(OR(D19="",E19=""),"",IF(D19=0,"",E19/D19))</f>
        <v/>
      </c>
      <c r="G19" s="6">
        <f>IF(F19="","",TODAY()+F19)</f>
        <v/>
      </c>
      <c r="H19" s="7" t="n"/>
      <c r="I19" s="7" t="n"/>
      <c r="J19" s="4" t="n"/>
      <c r="K19" s="8">
        <f>IF(B19="","",IF(AND(H19&lt;&gt;"",H19&lt;TODAY()),"ABGELAUFEN",IF(F19="","Verbrauch fehlt",IF(F19&lt;14,"NACHBESTELLEN",IF(F19&lt;30,"bald prüfen","OK")))))</f>
        <v/>
      </c>
      <c r="L19" s="8">
        <f>IF(OR(B19="",I19=""),"",IF(I19&lt;TODAY(),"ABGELAUFEN",IF(I19-TODAY()&lt;30,"Rezept erneuern","OK")))</f>
        <v/>
      </c>
    </row>
    <row r="20">
      <c r="A20" s="4" t="n"/>
      <c r="B20" s="4" t="n"/>
      <c r="C20" s="4" t="n"/>
      <c r="D20" s="4" t="n"/>
      <c r="E20" s="4" t="n"/>
      <c r="F20" s="5">
        <f>IF(OR(D20="",E20=""),"",IF(D20=0,"",E20/D20))</f>
        <v/>
      </c>
      <c r="G20" s="6">
        <f>IF(F20="","",TODAY()+F20)</f>
        <v/>
      </c>
      <c r="H20" s="7" t="n"/>
      <c r="I20" s="7" t="n"/>
      <c r="J20" s="4" t="n"/>
      <c r="K20" s="8">
        <f>IF(B20="","",IF(AND(H20&lt;&gt;"",H20&lt;TODAY()),"ABGELAUFEN",IF(F20="","Verbrauch fehlt",IF(F20&lt;14,"NACHBESTELLEN",IF(F20&lt;30,"bald prüfen","OK")))))</f>
        <v/>
      </c>
      <c r="L20" s="8">
        <f>IF(OR(B20="",I20=""),"",IF(I20&lt;TODAY(),"ABGELAUFEN",IF(I20-TODAY()&lt;30,"Rezept erneuern","OK")))</f>
        <v/>
      </c>
    </row>
    <row r="21">
      <c r="A21" s="4" t="n"/>
      <c r="B21" s="4" t="n"/>
      <c r="C21" s="4" t="n"/>
      <c r="D21" s="4" t="n"/>
      <c r="E21" s="4" t="n"/>
      <c r="F21" s="5">
        <f>IF(OR(D21="",E21=""),"",IF(D21=0,"",E21/D21))</f>
        <v/>
      </c>
      <c r="G21" s="6">
        <f>IF(F21="","",TODAY()+F21)</f>
        <v/>
      </c>
      <c r="H21" s="7" t="n"/>
      <c r="I21" s="7" t="n"/>
      <c r="J21" s="4" t="n"/>
      <c r="K21" s="8">
        <f>IF(B21="","",IF(AND(H21&lt;&gt;"",H21&lt;TODAY()),"ABGELAUFEN",IF(F21="","Verbrauch fehlt",IF(F21&lt;14,"NACHBESTELLEN",IF(F21&lt;30,"bald prüfen","OK")))))</f>
        <v/>
      </c>
      <c r="L21" s="8">
        <f>IF(OR(B21="",I21=""),"",IF(I21&lt;TODAY(),"ABGELAUFEN",IF(I21-TODAY()&lt;30,"Rezept erneuern","OK")))</f>
        <v/>
      </c>
    </row>
    <row r="22">
      <c r="A22" s="4" t="n"/>
      <c r="B22" s="4" t="n"/>
      <c r="C22" s="4" t="n"/>
      <c r="D22" s="4" t="n"/>
      <c r="E22" s="4" t="n"/>
      <c r="F22" s="5">
        <f>IF(OR(D22="",E22=""),"",IF(D22=0,"",E22/D22))</f>
        <v/>
      </c>
      <c r="G22" s="6">
        <f>IF(F22="","",TODAY()+F22)</f>
        <v/>
      </c>
      <c r="H22" s="7" t="n"/>
      <c r="I22" s="7" t="n"/>
      <c r="J22" s="4" t="n"/>
      <c r="K22" s="8">
        <f>IF(B22="","",IF(AND(H22&lt;&gt;"",H22&lt;TODAY()),"ABGELAUFEN",IF(F22="","Verbrauch fehlt",IF(F22&lt;14,"NACHBESTELLEN",IF(F22&lt;30,"bald prüfen","OK")))))</f>
        <v/>
      </c>
      <c r="L22" s="8">
        <f>IF(OR(B22="",I22=""),"",IF(I22&lt;TODAY(),"ABGELAUFEN",IF(I22-TODAY()&lt;30,"Rezept erneuern","OK")))</f>
        <v/>
      </c>
    </row>
    <row r="23">
      <c r="A23" s="4" t="n"/>
      <c r="B23" s="4" t="n"/>
      <c r="C23" s="4" t="n"/>
      <c r="D23" s="4" t="n"/>
      <c r="E23" s="4" t="n"/>
      <c r="F23" s="5">
        <f>IF(OR(D23="",E23=""),"",IF(D23=0,"",E23/D23))</f>
        <v/>
      </c>
      <c r="G23" s="6">
        <f>IF(F23="","",TODAY()+F23)</f>
        <v/>
      </c>
      <c r="H23" s="7" t="n"/>
      <c r="I23" s="7" t="n"/>
      <c r="J23" s="4" t="n"/>
      <c r="K23" s="8">
        <f>IF(B23="","",IF(AND(H23&lt;&gt;"",H23&lt;TODAY()),"ABGELAUFEN",IF(F23="","Verbrauch fehlt",IF(F23&lt;14,"NACHBESTELLEN",IF(F23&lt;30,"bald prüfen","OK")))))</f>
        <v/>
      </c>
      <c r="L23" s="8">
        <f>IF(OR(B23="",I23=""),"",IF(I23&lt;TODAY(),"ABGELAUFEN",IF(I23-TODAY()&lt;30,"Rezept erneuern","OK")))</f>
        <v/>
      </c>
    </row>
    <row r="24">
      <c r="A24" s="4" t="n"/>
      <c r="B24" s="4" t="n"/>
      <c r="C24" s="4" t="n"/>
      <c r="D24" s="4" t="n"/>
      <c r="E24" s="4" t="n"/>
      <c r="F24" s="5">
        <f>IF(OR(D24="",E24=""),"",IF(D24=0,"",E24/D24))</f>
        <v/>
      </c>
      <c r="G24" s="6">
        <f>IF(F24="","",TODAY()+F24)</f>
        <v/>
      </c>
      <c r="H24" s="7" t="n"/>
      <c r="I24" s="7" t="n"/>
      <c r="J24" s="4" t="n"/>
      <c r="K24" s="8">
        <f>IF(B24="","",IF(AND(H24&lt;&gt;"",H24&lt;TODAY()),"ABGELAUFEN",IF(F24="","Verbrauch fehlt",IF(F24&lt;14,"NACHBESTELLEN",IF(F24&lt;30,"bald prüfen","OK")))))</f>
        <v/>
      </c>
      <c r="L24" s="8">
        <f>IF(OR(B24="",I24=""),"",IF(I24&lt;TODAY(),"ABGELAUFEN",IF(I24-TODAY()&lt;30,"Rezept erneuern","OK")))</f>
        <v/>
      </c>
    </row>
    <row r="25">
      <c r="A25" s="4" t="n"/>
      <c r="B25" s="4" t="n"/>
      <c r="C25" s="4" t="n"/>
      <c r="D25" s="4" t="n"/>
      <c r="E25" s="4" t="n"/>
      <c r="F25" s="5">
        <f>IF(OR(D25="",E25=""),"",IF(D25=0,"",E25/D25))</f>
        <v/>
      </c>
      <c r="G25" s="6">
        <f>IF(F25="","",TODAY()+F25)</f>
        <v/>
      </c>
      <c r="H25" s="7" t="n"/>
      <c r="I25" s="7" t="n"/>
      <c r="J25" s="4" t="n"/>
      <c r="K25" s="8">
        <f>IF(B25="","",IF(AND(H25&lt;&gt;"",H25&lt;TODAY()),"ABGELAUFEN",IF(F25="","Verbrauch fehlt",IF(F25&lt;14,"NACHBESTELLEN",IF(F25&lt;30,"bald prüfen","OK")))))</f>
        <v/>
      </c>
      <c r="L25" s="8">
        <f>IF(OR(B25="",I25=""),"",IF(I25&lt;TODAY(),"ABGELAUFEN",IF(I25-TODAY()&lt;30,"Rezept erneuern","OK")))</f>
        <v/>
      </c>
    </row>
    <row r="26">
      <c r="A26" s="4" t="n"/>
      <c r="B26" s="4" t="n"/>
      <c r="C26" s="4" t="n"/>
      <c r="D26" s="4" t="n"/>
      <c r="E26" s="4" t="n"/>
      <c r="F26" s="5">
        <f>IF(OR(D26="",E26=""),"",IF(D26=0,"",E26/D26))</f>
        <v/>
      </c>
      <c r="G26" s="6">
        <f>IF(F26="","",TODAY()+F26)</f>
        <v/>
      </c>
      <c r="H26" s="7" t="n"/>
      <c r="I26" s="7" t="n"/>
      <c r="J26" s="4" t="n"/>
      <c r="K26" s="8">
        <f>IF(B26="","",IF(AND(H26&lt;&gt;"",H26&lt;TODAY()),"ABGELAUFEN",IF(F26="","Verbrauch fehlt",IF(F26&lt;14,"NACHBESTELLEN",IF(F26&lt;30,"bald prüfen","OK")))))</f>
        <v/>
      </c>
      <c r="L26" s="8">
        <f>IF(OR(B26="",I26=""),"",IF(I26&lt;TODAY(),"ABGELAUFEN",IF(I26-TODAY()&lt;30,"Rezept erneuern","OK")))</f>
        <v/>
      </c>
    </row>
    <row r="27">
      <c r="A27" s="4" t="n"/>
      <c r="B27" s="4" t="n"/>
      <c r="C27" s="4" t="n"/>
      <c r="D27" s="4" t="n"/>
      <c r="E27" s="4" t="n"/>
      <c r="F27" s="5">
        <f>IF(OR(D27="",E27=""),"",IF(D27=0,"",E27/D27))</f>
        <v/>
      </c>
      <c r="G27" s="6">
        <f>IF(F27="","",TODAY()+F27)</f>
        <v/>
      </c>
      <c r="H27" s="7" t="n"/>
      <c r="I27" s="7" t="n"/>
      <c r="J27" s="4" t="n"/>
      <c r="K27" s="8">
        <f>IF(B27="","",IF(AND(H27&lt;&gt;"",H27&lt;TODAY()),"ABGELAUFEN",IF(F27="","Verbrauch fehlt",IF(F27&lt;14,"NACHBESTELLEN",IF(F27&lt;30,"bald prüfen","OK")))))</f>
        <v/>
      </c>
      <c r="L27" s="8">
        <f>IF(OR(B27="",I27=""),"",IF(I27&lt;TODAY(),"ABGELAUFEN",IF(I27-TODAY()&lt;30,"Rezept erneuern","OK")))</f>
        <v/>
      </c>
    </row>
    <row r="28">
      <c r="A28" s="4" t="n"/>
      <c r="B28" s="4" t="n"/>
      <c r="C28" s="4" t="n"/>
      <c r="D28" s="4" t="n"/>
      <c r="E28" s="4" t="n"/>
      <c r="F28" s="5">
        <f>IF(OR(D28="",E28=""),"",IF(D28=0,"",E28/D28))</f>
        <v/>
      </c>
      <c r="G28" s="6">
        <f>IF(F28="","",TODAY()+F28)</f>
        <v/>
      </c>
      <c r="H28" s="7" t="n"/>
      <c r="I28" s="7" t="n"/>
      <c r="J28" s="4" t="n"/>
      <c r="K28" s="8">
        <f>IF(B28="","",IF(AND(H28&lt;&gt;"",H28&lt;TODAY()),"ABGELAUFEN",IF(F28="","Verbrauch fehlt",IF(F28&lt;14,"NACHBESTELLEN",IF(F28&lt;30,"bald prüfen","OK")))))</f>
        <v/>
      </c>
      <c r="L28" s="8">
        <f>IF(OR(B28="",I28=""),"",IF(I28&lt;TODAY(),"ABGELAUFEN",IF(I28-TODAY()&lt;30,"Rezept erneuern","OK")))</f>
        <v/>
      </c>
    </row>
    <row r="29">
      <c r="A29" s="4" t="n"/>
      <c r="B29" s="4" t="n"/>
      <c r="C29" s="4" t="n"/>
      <c r="D29" s="4" t="n"/>
      <c r="E29" s="4" t="n"/>
      <c r="F29" s="5">
        <f>IF(OR(D29="",E29=""),"",IF(D29=0,"",E29/D29))</f>
        <v/>
      </c>
      <c r="G29" s="6">
        <f>IF(F29="","",TODAY()+F29)</f>
        <v/>
      </c>
      <c r="H29" s="7" t="n"/>
      <c r="I29" s="7" t="n"/>
      <c r="J29" s="4" t="n"/>
      <c r="K29" s="8">
        <f>IF(B29="","",IF(AND(H29&lt;&gt;"",H29&lt;TODAY()),"ABGELAUFEN",IF(F29="","Verbrauch fehlt",IF(F29&lt;14,"NACHBESTELLEN",IF(F29&lt;30,"bald prüfen","OK")))))</f>
        <v/>
      </c>
      <c r="L29" s="8">
        <f>IF(OR(B29="",I29=""),"",IF(I29&lt;TODAY(),"ABGELAUFEN",IF(I29-TODAY()&lt;30,"Rezept erneuern","OK")))</f>
        <v/>
      </c>
    </row>
    <row r="30">
      <c r="A30" s="4" t="n"/>
      <c r="B30" s="4" t="n"/>
      <c r="C30" s="4" t="n"/>
      <c r="D30" s="4" t="n"/>
      <c r="E30" s="4" t="n"/>
      <c r="F30" s="5">
        <f>IF(OR(D30="",E30=""),"",IF(D30=0,"",E30/D30))</f>
        <v/>
      </c>
      <c r="G30" s="6">
        <f>IF(F30="","",TODAY()+F30)</f>
        <v/>
      </c>
      <c r="H30" s="7" t="n"/>
      <c r="I30" s="7" t="n"/>
      <c r="J30" s="4" t="n"/>
      <c r="K30" s="8">
        <f>IF(B30="","",IF(AND(H30&lt;&gt;"",H30&lt;TODAY()),"ABGELAUFEN",IF(F30="","Verbrauch fehlt",IF(F30&lt;14,"NACHBESTELLEN",IF(F30&lt;30,"bald prüfen","OK")))))</f>
        <v/>
      </c>
      <c r="L30" s="8">
        <f>IF(OR(B30="",I30=""),"",IF(I30&lt;TODAY(),"ABGELAUFEN",IF(I30-TODAY()&lt;30,"Rezept erneuern","OK")))</f>
        <v/>
      </c>
    </row>
    <row r="31">
      <c r="A31" s="4" t="n"/>
      <c r="B31" s="4" t="n"/>
      <c r="C31" s="4" t="n"/>
      <c r="D31" s="4" t="n"/>
      <c r="E31" s="4" t="n"/>
      <c r="F31" s="5">
        <f>IF(OR(D31="",E31=""),"",IF(D31=0,"",E31/D31))</f>
        <v/>
      </c>
      <c r="G31" s="6">
        <f>IF(F31="","",TODAY()+F31)</f>
        <v/>
      </c>
      <c r="H31" s="7" t="n"/>
      <c r="I31" s="7" t="n"/>
      <c r="J31" s="4" t="n"/>
      <c r="K31" s="8">
        <f>IF(B31="","",IF(AND(H31&lt;&gt;"",H31&lt;TODAY()),"ABGELAUFEN",IF(F31="","Verbrauch fehlt",IF(F31&lt;14,"NACHBESTELLEN",IF(F31&lt;30,"bald prüfen","OK")))))</f>
        <v/>
      </c>
      <c r="L31" s="8">
        <f>IF(OR(B31="",I31=""),"",IF(I31&lt;TODAY(),"ABGELAUFEN",IF(I31-TODAY()&lt;30,"Rezept erneuern","OK")))</f>
        <v/>
      </c>
    </row>
    <row r="32">
      <c r="A32" s="4" t="n"/>
      <c r="B32" s="4" t="n"/>
      <c r="C32" s="4" t="n"/>
      <c r="D32" s="4" t="n"/>
      <c r="E32" s="4" t="n"/>
      <c r="F32" s="5">
        <f>IF(OR(D32="",E32=""),"",IF(D32=0,"",E32/D32))</f>
        <v/>
      </c>
      <c r="G32" s="6">
        <f>IF(F32="","",TODAY()+F32)</f>
        <v/>
      </c>
      <c r="H32" s="7" t="n"/>
      <c r="I32" s="7" t="n"/>
      <c r="J32" s="4" t="n"/>
      <c r="K32" s="8">
        <f>IF(B32="","",IF(AND(H32&lt;&gt;"",H32&lt;TODAY()),"ABGELAUFEN",IF(F32="","Verbrauch fehlt",IF(F32&lt;14,"NACHBESTELLEN",IF(F32&lt;30,"bald prüfen","OK")))))</f>
        <v/>
      </c>
      <c r="L32" s="8">
        <f>IF(OR(B32="",I32=""),"",IF(I32&lt;TODAY(),"ABGELAUFEN",IF(I32-TODAY()&lt;30,"Rezept erneuern","OK")))</f>
        <v/>
      </c>
    </row>
    <row r="33">
      <c r="A33" s="4" t="n"/>
      <c r="B33" s="4" t="n"/>
      <c r="C33" s="4" t="n"/>
      <c r="D33" s="4" t="n"/>
      <c r="E33" s="4" t="n"/>
      <c r="F33" s="5">
        <f>IF(OR(D33="",E33=""),"",IF(D33=0,"",E33/D33))</f>
        <v/>
      </c>
      <c r="G33" s="6">
        <f>IF(F33="","",TODAY()+F33)</f>
        <v/>
      </c>
      <c r="H33" s="7" t="n"/>
      <c r="I33" s="7" t="n"/>
      <c r="J33" s="4" t="n"/>
      <c r="K33" s="8">
        <f>IF(B33="","",IF(AND(H33&lt;&gt;"",H33&lt;TODAY()),"ABGELAUFEN",IF(F33="","Verbrauch fehlt",IF(F33&lt;14,"NACHBESTELLEN",IF(F33&lt;30,"bald prüfen","OK")))))</f>
        <v/>
      </c>
      <c r="L33" s="8">
        <f>IF(OR(B33="",I33=""),"",IF(I33&lt;TODAY(),"ABGELAUFEN",IF(I33-TODAY()&lt;30,"Rezept erneuern","OK")))</f>
        <v/>
      </c>
    </row>
    <row r="34">
      <c r="A34" s="4" t="n"/>
      <c r="B34" s="4" t="n"/>
      <c r="C34" s="4" t="n"/>
      <c r="D34" s="4" t="n"/>
      <c r="E34" s="4" t="n"/>
      <c r="F34" s="5">
        <f>IF(OR(D34="",E34=""),"",IF(D34=0,"",E34/D34))</f>
        <v/>
      </c>
      <c r="G34" s="6">
        <f>IF(F34="","",TODAY()+F34)</f>
        <v/>
      </c>
      <c r="H34" s="7" t="n"/>
      <c r="I34" s="7" t="n"/>
      <c r="J34" s="4" t="n"/>
      <c r="K34" s="8">
        <f>IF(B34="","",IF(AND(H34&lt;&gt;"",H34&lt;TODAY()),"ABGELAUFEN",IF(F34="","Verbrauch fehlt",IF(F34&lt;14,"NACHBESTELLEN",IF(F34&lt;30,"bald prüfen","OK")))))</f>
        <v/>
      </c>
      <c r="L34" s="8">
        <f>IF(OR(B34="",I34=""),"",IF(I34&lt;TODAY(),"ABGELAUFEN",IF(I34-TODAY()&lt;30,"Rezept erneuern","OK")))</f>
        <v/>
      </c>
    </row>
    <row r="35">
      <c r="A35" s="4" t="n"/>
      <c r="B35" s="4" t="n"/>
      <c r="C35" s="4" t="n"/>
      <c r="D35" s="4" t="n"/>
      <c r="E35" s="4" t="n"/>
      <c r="F35" s="5">
        <f>IF(OR(D35="",E35=""),"",IF(D35=0,"",E35/D35))</f>
        <v/>
      </c>
      <c r="G35" s="6">
        <f>IF(F35="","",TODAY()+F35)</f>
        <v/>
      </c>
      <c r="H35" s="7" t="n"/>
      <c r="I35" s="7" t="n"/>
      <c r="J35" s="4" t="n"/>
      <c r="K35" s="8">
        <f>IF(B35="","",IF(AND(H35&lt;&gt;"",H35&lt;TODAY()),"ABGELAUFEN",IF(F35="","Verbrauch fehlt",IF(F35&lt;14,"NACHBESTELLEN",IF(F35&lt;30,"bald prüfen","OK")))))</f>
        <v/>
      </c>
      <c r="L35" s="8">
        <f>IF(OR(B35="",I35=""),"",IF(I35&lt;TODAY(),"ABGELAUFEN",IF(I35-TODAY()&lt;30,"Rezept erneuern","OK")))</f>
        <v/>
      </c>
    </row>
    <row r="36">
      <c r="A36" s="4" t="n"/>
      <c r="B36" s="4" t="n"/>
      <c r="C36" s="4" t="n"/>
      <c r="D36" s="4" t="n"/>
      <c r="E36" s="4" t="n"/>
      <c r="F36" s="5">
        <f>IF(OR(D36="",E36=""),"",IF(D36=0,"",E36/D36))</f>
        <v/>
      </c>
      <c r="G36" s="6">
        <f>IF(F36="","",TODAY()+F36)</f>
        <v/>
      </c>
      <c r="H36" s="7" t="n"/>
      <c r="I36" s="7" t="n"/>
      <c r="J36" s="4" t="n"/>
      <c r="K36" s="8">
        <f>IF(B36="","",IF(AND(H36&lt;&gt;"",H36&lt;TODAY()),"ABGELAUFEN",IF(F36="","Verbrauch fehlt",IF(F36&lt;14,"NACHBESTELLEN",IF(F36&lt;30,"bald prüfen","OK")))))</f>
        <v/>
      </c>
      <c r="L36" s="8">
        <f>IF(OR(B36="",I36=""),"",IF(I36&lt;TODAY(),"ABGELAUFEN",IF(I36-TODAY()&lt;30,"Rezept erneuern","OK")))</f>
        <v/>
      </c>
    </row>
    <row r="37">
      <c r="A37" s="4" t="n"/>
      <c r="B37" s="4" t="n"/>
      <c r="C37" s="4" t="n"/>
      <c r="D37" s="4" t="n"/>
      <c r="E37" s="4" t="n"/>
      <c r="F37" s="5">
        <f>IF(OR(D37="",E37=""),"",IF(D37=0,"",E37/D37))</f>
        <v/>
      </c>
      <c r="G37" s="6">
        <f>IF(F37="","",TODAY()+F37)</f>
        <v/>
      </c>
      <c r="H37" s="7" t="n"/>
      <c r="I37" s="7" t="n"/>
      <c r="J37" s="4" t="n"/>
      <c r="K37" s="8">
        <f>IF(B37="","",IF(AND(H37&lt;&gt;"",H37&lt;TODAY()),"ABGELAUFEN",IF(F37="","Verbrauch fehlt",IF(F37&lt;14,"NACHBESTELLEN",IF(F37&lt;30,"bald prüfen","OK")))))</f>
        <v/>
      </c>
      <c r="L37" s="8">
        <f>IF(OR(B37="",I37=""),"",IF(I37&lt;TODAY(),"ABGELAUFEN",IF(I37-TODAY()&lt;30,"Rezept erneuern","OK")))</f>
        <v/>
      </c>
    </row>
    <row r="38">
      <c r="A38" s="4" t="n"/>
      <c r="B38" s="4" t="n"/>
      <c r="C38" s="4" t="n"/>
      <c r="D38" s="4" t="n"/>
      <c r="E38" s="4" t="n"/>
      <c r="F38" s="5">
        <f>IF(OR(D38="",E38=""),"",IF(D38=0,"",E38/D38))</f>
        <v/>
      </c>
      <c r="G38" s="6">
        <f>IF(F38="","",TODAY()+F38)</f>
        <v/>
      </c>
      <c r="H38" s="7" t="n"/>
      <c r="I38" s="7" t="n"/>
      <c r="J38" s="4" t="n"/>
      <c r="K38" s="8">
        <f>IF(B38="","",IF(AND(H38&lt;&gt;"",H38&lt;TODAY()),"ABGELAUFEN",IF(F38="","Verbrauch fehlt",IF(F38&lt;14,"NACHBESTELLEN",IF(F38&lt;30,"bald prüfen","OK")))))</f>
        <v/>
      </c>
      <c r="L38" s="8">
        <f>IF(OR(B38="",I38=""),"",IF(I38&lt;TODAY(),"ABGELAUFEN",IF(I38-TODAY()&lt;30,"Rezept erneuern","OK")))</f>
        <v/>
      </c>
    </row>
    <row r="39">
      <c r="A39" s="4" t="n"/>
      <c r="B39" s="4" t="n"/>
      <c r="C39" s="4" t="n"/>
      <c r="D39" s="4" t="n"/>
      <c r="E39" s="4" t="n"/>
      <c r="F39" s="5">
        <f>IF(OR(D39="",E39=""),"",IF(D39=0,"",E39/D39))</f>
        <v/>
      </c>
      <c r="G39" s="6">
        <f>IF(F39="","",TODAY()+F39)</f>
        <v/>
      </c>
      <c r="H39" s="7" t="n"/>
      <c r="I39" s="7" t="n"/>
      <c r="J39" s="4" t="n"/>
      <c r="K39" s="8">
        <f>IF(B39="","",IF(AND(H39&lt;&gt;"",H39&lt;TODAY()),"ABGELAUFEN",IF(F39="","Verbrauch fehlt",IF(F39&lt;14,"NACHBESTELLEN",IF(F39&lt;30,"bald prüfen","OK")))))</f>
        <v/>
      </c>
      <c r="L39" s="8">
        <f>IF(OR(B39="",I39=""),"",IF(I39&lt;TODAY(),"ABGELAUFEN",IF(I39-TODAY()&lt;30,"Rezept erneuern","OK")))</f>
        <v/>
      </c>
    </row>
    <row r="40">
      <c r="A40" s="4" t="n"/>
      <c r="B40" s="4" t="n"/>
      <c r="C40" s="4" t="n"/>
      <c r="D40" s="4" t="n"/>
      <c r="E40" s="4" t="n"/>
      <c r="F40" s="5">
        <f>IF(OR(D40="",E40=""),"",IF(D40=0,"",E40/D40))</f>
        <v/>
      </c>
      <c r="G40" s="6">
        <f>IF(F40="","",TODAY()+F40)</f>
        <v/>
      </c>
      <c r="H40" s="7" t="n"/>
      <c r="I40" s="7" t="n"/>
      <c r="J40" s="4" t="n"/>
      <c r="K40" s="8">
        <f>IF(B40="","",IF(AND(H40&lt;&gt;"",H40&lt;TODAY()),"ABGELAUFEN",IF(F40="","Verbrauch fehlt",IF(F40&lt;14,"NACHBESTELLEN",IF(F40&lt;30,"bald prüfen","OK")))))</f>
        <v/>
      </c>
      <c r="L40" s="8">
        <f>IF(OR(B40="",I40=""),"",IF(I40&lt;TODAY(),"ABGELAUFEN",IF(I40-TODAY()&lt;30,"Rezept erneuern","OK")))</f>
        <v/>
      </c>
    </row>
    <row r="41">
      <c r="A41" s="4" t="n"/>
      <c r="B41" s="4" t="n"/>
      <c r="C41" s="4" t="n"/>
      <c r="D41" s="4" t="n"/>
      <c r="E41" s="4" t="n"/>
      <c r="F41" s="5">
        <f>IF(OR(D41="",E41=""),"",IF(D41=0,"",E41/D41))</f>
        <v/>
      </c>
      <c r="G41" s="6">
        <f>IF(F41="","",TODAY()+F41)</f>
        <v/>
      </c>
      <c r="H41" s="7" t="n"/>
      <c r="I41" s="7" t="n"/>
      <c r="J41" s="4" t="n"/>
      <c r="K41" s="8">
        <f>IF(B41="","",IF(AND(H41&lt;&gt;"",H41&lt;TODAY()),"ABGELAUFEN",IF(F41="","Verbrauch fehlt",IF(F41&lt;14,"NACHBESTELLEN",IF(F41&lt;30,"bald prüfen","OK")))))</f>
        <v/>
      </c>
      <c r="L41" s="8">
        <f>IF(OR(B41="",I41=""),"",IF(I41&lt;TODAY(),"ABGELAUFEN",IF(I41-TODAY()&lt;30,"Rezept erneuern","OK")))</f>
        <v/>
      </c>
    </row>
    <row r="42">
      <c r="A42" s="4" t="n"/>
      <c r="B42" s="4" t="n"/>
      <c r="C42" s="4" t="n"/>
      <c r="D42" s="4" t="n"/>
      <c r="E42" s="4" t="n"/>
      <c r="F42" s="5">
        <f>IF(OR(D42="",E42=""),"",IF(D42=0,"",E42/D42))</f>
        <v/>
      </c>
      <c r="G42" s="6">
        <f>IF(F42="","",TODAY()+F42)</f>
        <v/>
      </c>
      <c r="H42" s="7" t="n"/>
      <c r="I42" s="7" t="n"/>
      <c r="J42" s="4" t="n"/>
      <c r="K42" s="8">
        <f>IF(B42="","",IF(AND(H42&lt;&gt;"",H42&lt;TODAY()),"ABGELAUFEN",IF(F42="","Verbrauch fehlt",IF(F42&lt;14,"NACHBESTELLEN",IF(F42&lt;30,"bald prüfen","OK")))))</f>
        <v/>
      </c>
      <c r="L42" s="8">
        <f>IF(OR(B42="",I42=""),"",IF(I42&lt;TODAY(),"ABGELAUFEN",IF(I42-TODAY()&lt;30,"Rezept erneuern","OK")))</f>
        <v/>
      </c>
    </row>
    <row r="43">
      <c r="A43" s="4" t="n"/>
      <c r="B43" s="4" t="n"/>
      <c r="C43" s="4" t="n"/>
      <c r="D43" s="4" t="n"/>
      <c r="E43" s="4" t="n"/>
      <c r="F43" s="5">
        <f>IF(OR(D43="",E43=""),"",IF(D43=0,"",E43/D43))</f>
        <v/>
      </c>
      <c r="G43" s="6">
        <f>IF(F43="","",TODAY()+F43)</f>
        <v/>
      </c>
      <c r="H43" s="7" t="n"/>
      <c r="I43" s="7" t="n"/>
      <c r="J43" s="4" t="n"/>
      <c r="K43" s="8">
        <f>IF(B43="","",IF(AND(H43&lt;&gt;"",H43&lt;TODAY()),"ABGELAUFEN",IF(F43="","Verbrauch fehlt",IF(F43&lt;14,"NACHBESTELLEN",IF(F43&lt;30,"bald prüfen","OK")))))</f>
        <v/>
      </c>
      <c r="L43" s="8">
        <f>IF(OR(B43="",I43=""),"",IF(I43&lt;TODAY(),"ABGELAUFEN",IF(I43-TODAY()&lt;30,"Rezept erneuern","OK")))</f>
        <v/>
      </c>
    </row>
    <row r="44">
      <c r="A44" s="4" t="n"/>
      <c r="B44" s="4" t="n"/>
      <c r="C44" s="4" t="n"/>
      <c r="D44" s="4" t="n"/>
      <c r="E44" s="4" t="n"/>
      <c r="F44" s="5">
        <f>IF(OR(D44="",E44=""),"",IF(D44=0,"",E44/D44))</f>
        <v/>
      </c>
      <c r="G44" s="6">
        <f>IF(F44="","",TODAY()+F44)</f>
        <v/>
      </c>
      <c r="H44" s="7" t="n"/>
      <c r="I44" s="7" t="n"/>
      <c r="J44" s="4" t="n"/>
      <c r="K44" s="8">
        <f>IF(B44="","",IF(AND(H44&lt;&gt;"",H44&lt;TODAY()),"ABGELAUFEN",IF(F44="","Verbrauch fehlt",IF(F44&lt;14,"NACHBESTELLEN",IF(F44&lt;30,"bald prüfen","OK")))))</f>
        <v/>
      </c>
      <c r="L44" s="8">
        <f>IF(OR(B44="",I44=""),"",IF(I44&lt;TODAY(),"ABGELAUFEN",IF(I44-TODAY()&lt;30,"Rezept erneuern","OK")))</f>
        <v/>
      </c>
    </row>
    <row r="45">
      <c r="A45" s="4" t="n"/>
      <c r="B45" s="4" t="n"/>
      <c r="C45" s="4" t="n"/>
      <c r="D45" s="4" t="n"/>
      <c r="E45" s="4" t="n"/>
      <c r="F45" s="5">
        <f>IF(OR(D45="",E45=""),"",IF(D45=0,"",E45/D45))</f>
        <v/>
      </c>
      <c r="G45" s="6">
        <f>IF(F45="","",TODAY()+F45)</f>
        <v/>
      </c>
      <c r="H45" s="7" t="n"/>
      <c r="I45" s="7" t="n"/>
      <c r="J45" s="4" t="n"/>
      <c r="K45" s="8">
        <f>IF(B45="","",IF(AND(H45&lt;&gt;"",H45&lt;TODAY()),"ABGELAUFEN",IF(F45="","Verbrauch fehlt",IF(F45&lt;14,"NACHBESTELLEN",IF(F45&lt;30,"bald prüfen","OK")))))</f>
        <v/>
      </c>
      <c r="L45" s="8">
        <f>IF(OR(B45="",I45=""),"",IF(I45&lt;TODAY(),"ABGELAUFEN",IF(I45-TODAY()&lt;30,"Rezept erneuern","OK")))</f>
        <v/>
      </c>
    </row>
    <row r="46">
      <c r="A46" s="4" t="n"/>
      <c r="B46" s="4" t="n"/>
      <c r="C46" s="4" t="n"/>
      <c r="D46" s="4" t="n"/>
      <c r="E46" s="4" t="n"/>
      <c r="F46" s="5">
        <f>IF(OR(D46="",E46=""),"",IF(D46=0,"",E46/D46))</f>
        <v/>
      </c>
      <c r="G46" s="6">
        <f>IF(F46="","",TODAY()+F46)</f>
        <v/>
      </c>
      <c r="H46" s="7" t="n"/>
      <c r="I46" s="7" t="n"/>
      <c r="J46" s="4" t="n"/>
      <c r="K46" s="8">
        <f>IF(B46="","",IF(AND(H46&lt;&gt;"",H46&lt;TODAY()),"ABGELAUFEN",IF(F46="","Verbrauch fehlt",IF(F46&lt;14,"NACHBESTELLEN",IF(F46&lt;30,"bald prüfen","OK")))))</f>
        <v/>
      </c>
      <c r="L46" s="8">
        <f>IF(OR(B46="",I46=""),"",IF(I46&lt;TODAY(),"ABGELAUFEN",IF(I46-TODAY()&lt;30,"Rezept erneuern","OK")))</f>
        <v/>
      </c>
    </row>
    <row r="47">
      <c r="A47" s="4" t="n"/>
      <c r="B47" s="4" t="n"/>
      <c r="C47" s="4" t="n"/>
      <c r="D47" s="4" t="n"/>
      <c r="E47" s="4" t="n"/>
      <c r="F47" s="5">
        <f>IF(OR(D47="",E47=""),"",IF(D47=0,"",E47/D47))</f>
        <v/>
      </c>
      <c r="G47" s="6">
        <f>IF(F47="","",TODAY()+F47)</f>
        <v/>
      </c>
      <c r="H47" s="7" t="n"/>
      <c r="I47" s="7" t="n"/>
      <c r="J47" s="4" t="n"/>
      <c r="K47" s="8">
        <f>IF(B47="","",IF(AND(H47&lt;&gt;"",H47&lt;TODAY()),"ABGELAUFEN",IF(F47="","Verbrauch fehlt",IF(F47&lt;14,"NACHBESTELLEN",IF(F47&lt;30,"bald prüfen","OK")))))</f>
        <v/>
      </c>
      <c r="L47" s="8">
        <f>IF(OR(B47="",I47=""),"",IF(I47&lt;TODAY(),"ABGELAUFEN",IF(I47-TODAY()&lt;30,"Rezept erneuern","OK")))</f>
        <v/>
      </c>
    </row>
    <row r="48">
      <c r="A48" s="4" t="n"/>
      <c r="B48" s="4" t="n"/>
      <c r="C48" s="4" t="n"/>
      <c r="D48" s="4" t="n"/>
      <c r="E48" s="4" t="n"/>
      <c r="F48" s="5">
        <f>IF(OR(D48="",E48=""),"",IF(D48=0,"",E48/D48))</f>
        <v/>
      </c>
      <c r="G48" s="6">
        <f>IF(F48="","",TODAY()+F48)</f>
        <v/>
      </c>
      <c r="H48" s="7" t="n"/>
      <c r="I48" s="7" t="n"/>
      <c r="J48" s="4" t="n"/>
      <c r="K48" s="8">
        <f>IF(B48="","",IF(AND(H48&lt;&gt;"",H48&lt;TODAY()),"ABGELAUFEN",IF(F48="","Verbrauch fehlt",IF(F48&lt;14,"NACHBESTELLEN",IF(F48&lt;30,"bald prüfen","OK")))))</f>
        <v/>
      </c>
      <c r="L48" s="8">
        <f>IF(OR(B48="",I48=""),"",IF(I48&lt;TODAY(),"ABGELAUFEN",IF(I48-TODAY()&lt;30,"Rezept erneuern","OK")))</f>
        <v/>
      </c>
    </row>
    <row r="49">
      <c r="A49" s="4" t="n"/>
      <c r="B49" s="4" t="n"/>
      <c r="C49" s="4" t="n"/>
      <c r="D49" s="4" t="n"/>
      <c r="E49" s="4" t="n"/>
      <c r="F49" s="5">
        <f>IF(OR(D49="",E49=""),"",IF(D49=0,"",E49/D49))</f>
        <v/>
      </c>
      <c r="G49" s="6">
        <f>IF(F49="","",TODAY()+F49)</f>
        <v/>
      </c>
      <c r="H49" s="7" t="n"/>
      <c r="I49" s="7" t="n"/>
      <c r="J49" s="4" t="n"/>
      <c r="K49" s="8">
        <f>IF(B49="","",IF(AND(H49&lt;&gt;"",H49&lt;TODAY()),"ABGELAUFEN",IF(F49="","Verbrauch fehlt",IF(F49&lt;14,"NACHBESTELLEN",IF(F49&lt;30,"bald prüfen","OK")))))</f>
        <v/>
      </c>
      <c r="L49" s="8">
        <f>IF(OR(B49="",I49=""),"",IF(I49&lt;TODAY(),"ABGELAUFEN",IF(I49-TODAY()&lt;30,"Rezept erneuern","OK")))</f>
        <v/>
      </c>
    </row>
    <row r="50">
      <c r="A50" s="4" t="n"/>
      <c r="B50" s="4" t="n"/>
      <c r="C50" s="4" t="n"/>
      <c r="D50" s="4" t="n"/>
      <c r="E50" s="4" t="n"/>
      <c r="F50" s="5">
        <f>IF(OR(D50="",E50=""),"",IF(D50=0,"",E50/D50))</f>
        <v/>
      </c>
      <c r="G50" s="6">
        <f>IF(F50="","",TODAY()+F50)</f>
        <v/>
      </c>
      <c r="H50" s="7" t="n"/>
      <c r="I50" s="7" t="n"/>
      <c r="J50" s="4" t="n"/>
      <c r="K50" s="8">
        <f>IF(B50="","",IF(AND(H50&lt;&gt;"",H50&lt;TODAY()),"ABGELAUFEN",IF(F50="","Verbrauch fehlt",IF(F50&lt;14,"NACHBESTELLEN",IF(F50&lt;30,"bald prüfen","OK")))))</f>
        <v/>
      </c>
      <c r="L50" s="8">
        <f>IF(OR(B50="",I50=""),"",IF(I50&lt;TODAY(),"ABGELAUFEN",IF(I50-TODAY()&lt;30,"Rezept erneuern","OK")))</f>
        <v/>
      </c>
    </row>
    <row r="51">
      <c r="A51" s="4" t="n"/>
      <c r="B51" s="4" t="n"/>
      <c r="C51" s="4" t="n"/>
      <c r="D51" s="4" t="n"/>
      <c r="E51" s="4" t="n"/>
      <c r="F51" s="5">
        <f>IF(OR(D51="",E51=""),"",IF(D51=0,"",E51/D51))</f>
        <v/>
      </c>
      <c r="G51" s="6">
        <f>IF(F51="","",TODAY()+F51)</f>
        <v/>
      </c>
      <c r="H51" s="7" t="n"/>
      <c r="I51" s="7" t="n"/>
      <c r="J51" s="4" t="n"/>
      <c r="K51" s="8">
        <f>IF(B51="","",IF(AND(H51&lt;&gt;"",H51&lt;TODAY()),"ABGELAUFEN",IF(F51="","Verbrauch fehlt",IF(F51&lt;14,"NACHBESTELLEN",IF(F51&lt;30,"bald prüfen","OK")))))</f>
        <v/>
      </c>
      <c r="L51" s="8">
        <f>IF(OR(B51="",I51=""),"",IF(I51&lt;TODAY(),"ABGELAUFEN",IF(I51-TODAY()&lt;30,"Rezept erneuern","OK")))</f>
        <v/>
      </c>
    </row>
    <row r="52">
      <c r="A52" s="4" t="n"/>
      <c r="B52" s="4" t="n"/>
      <c r="C52" s="4" t="n"/>
      <c r="D52" s="4" t="n"/>
      <c r="E52" s="4" t="n"/>
      <c r="F52" s="5">
        <f>IF(OR(D52="",E52=""),"",IF(D52=0,"",E52/D52))</f>
        <v/>
      </c>
      <c r="G52" s="6">
        <f>IF(F52="","",TODAY()+F52)</f>
        <v/>
      </c>
      <c r="H52" s="7" t="n"/>
      <c r="I52" s="7" t="n"/>
      <c r="J52" s="4" t="n"/>
      <c r="K52" s="8">
        <f>IF(B52="","",IF(AND(H52&lt;&gt;"",H52&lt;TODAY()),"ABGELAUFEN",IF(F52="","Verbrauch fehlt",IF(F52&lt;14,"NACHBESTELLEN",IF(F52&lt;30,"bald prüfen","OK")))))</f>
        <v/>
      </c>
      <c r="L52" s="8">
        <f>IF(OR(B52="",I52=""),"",IF(I52&lt;TODAY(),"ABGELAUFEN",IF(I52-TODAY()&lt;30,"Rezept erneuern","OK")))</f>
        <v/>
      </c>
    </row>
    <row r="53">
      <c r="A53" s="4" t="n"/>
      <c r="B53" s="4" t="n"/>
      <c r="C53" s="4" t="n"/>
      <c r="D53" s="4" t="n"/>
      <c r="E53" s="4" t="n"/>
      <c r="F53" s="5">
        <f>IF(OR(D53="",E53=""),"",IF(D53=0,"",E53/D53))</f>
        <v/>
      </c>
      <c r="G53" s="6">
        <f>IF(F53="","",TODAY()+F53)</f>
        <v/>
      </c>
      <c r="H53" s="7" t="n"/>
      <c r="I53" s="7" t="n"/>
      <c r="J53" s="4" t="n"/>
      <c r="K53" s="8">
        <f>IF(B53="","",IF(AND(H53&lt;&gt;"",H53&lt;TODAY()),"ABGELAUFEN",IF(F53="","Verbrauch fehlt",IF(F53&lt;14,"NACHBESTELLEN",IF(F53&lt;30,"bald prüfen","OK")))))</f>
        <v/>
      </c>
      <c r="L53" s="8">
        <f>IF(OR(B53="",I53=""),"",IF(I53&lt;TODAY(),"ABGELAUFEN",IF(I53-TODAY()&lt;30,"Rezept erneuern","OK")))</f>
        <v/>
      </c>
    </row>
    <row r="54">
      <c r="A54" s="4" t="n"/>
      <c r="B54" s="4" t="n"/>
      <c r="C54" s="4" t="n"/>
      <c r="D54" s="4" t="n"/>
      <c r="E54" s="4" t="n"/>
      <c r="F54" s="5">
        <f>IF(OR(D54="",E54=""),"",IF(D54=0,"",E54/D54))</f>
        <v/>
      </c>
      <c r="G54" s="6">
        <f>IF(F54="","",TODAY()+F54)</f>
        <v/>
      </c>
      <c r="H54" s="7" t="n"/>
      <c r="I54" s="7" t="n"/>
      <c r="J54" s="4" t="n"/>
      <c r="K54" s="8">
        <f>IF(B54="","",IF(AND(H54&lt;&gt;"",H54&lt;TODAY()),"ABGELAUFEN",IF(F54="","Verbrauch fehlt",IF(F54&lt;14,"NACHBESTELLEN",IF(F54&lt;30,"bald prüfen","OK")))))</f>
        <v/>
      </c>
      <c r="L54" s="8">
        <f>IF(OR(B54="",I54=""),"",IF(I54&lt;TODAY(),"ABGELAUFEN",IF(I54-TODAY()&lt;30,"Rezept erneuern","OK")))</f>
        <v/>
      </c>
    </row>
  </sheetData>
  <conditionalFormatting sqref="K5:L54">
    <cfRule type="expression" priority="1" dxfId="0">
      <formula>OR(K5="ABGELAUFEN",K5="NACHBESTELLEN",K5="Rezept erneuern")</formula>
    </cfRule>
    <cfRule type="expression" priority="2" dxfId="1">
      <formula>OR(K5="bald prüfen",K5="Verbrauch fehlt")</formula>
    </cfRule>
    <cfRule type="expression" priority="3" dxfId="2">
      <formula>K5="OK"</formula>
    </cfRule>
  </conditionalFormatting>
  <dataValidations count="1">
    <dataValidation sqref="J5:J54" showDropDown="0" showInputMessage="0" showErrorMessage="0" allowBlank="1" type="list">
      <formula1>"ja,nein"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52" customWidth="1" min="3" max="3"/>
  </cols>
  <sheetData>
    <row r="1">
      <c r="A1" s="1" t="inlineStr">
        <is>
          <t>Lagerung und Kühlung (Stromausfall)</t>
        </is>
      </c>
    </row>
    <row r="3">
      <c r="A3" s="9" t="inlineStr">
        <is>
          <t>Art</t>
        </is>
      </c>
      <c r="B3" s="9" t="inlineStr">
        <is>
          <t>Lagerung</t>
        </is>
      </c>
      <c r="C3" s="9" t="inlineStr">
        <is>
          <t>Bei Stromausfall</t>
        </is>
      </c>
    </row>
    <row r="4">
      <c r="A4" s="10" t="inlineStr">
        <is>
          <t>Insulin, ungeöffnet</t>
        </is>
      </c>
      <c r="B4" s="10" t="inlineStr">
        <is>
          <t>Kühlschrank 2–8 °C, nicht einfrieren</t>
        </is>
      </c>
      <c r="C4" s="10" t="inlineStr">
        <is>
          <t>Kühlbox mit Kühlakkus; Herstellerangabe beachten</t>
        </is>
      </c>
    </row>
    <row r="5">
      <c r="A5" s="10" t="inlineStr">
        <is>
          <t>Insulin, angebrochen</t>
        </is>
      </c>
      <c r="B5" s="10" t="inlineStr">
        <is>
          <t>Laut Packungsbeilage begrenzt haltbar, oft bei Raumtemperatur</t>
        </is>
      </c>
      <c r="C5" s="10" t="inlineStr">
        <is>
          <t>Nicht einfrieren, nicht in die Sonne legen</t>
        </is>
      </c>
    </row>
    <row r="6">
      <c r="A6" s="10" t="inlineStr">
        <is>
          <t>Augentropfen/-salben (kühlpflichtig)</t>
        </is>
      </c>
      <c r="B6" s="10" t="inlineStr">
        <is>
          <t>Nach Packungsbeilage</t>
        </is>
      </c>
      <c r="C6" s="10" t="inlineStr">
        <is>
          <t>Wie Insulin, Kühlbox</t>
        </is>
      </c>
    </row>
    <row r="7">
      <c r="A7" s="10" t="inlineStr">
        <is>
          <t>Zäpfchen, manche Salben</t>
        </is>
      </c>
      <c r="B7" s="10" t="inlineStr">
        <is>
          <t>Kühl lagern, nach Packungsbeilage</t>
        </is>
      </c>
      <c r="C7" s="10" t="inlineStr">
        <is>
          <t>Kühlbox</t>
        </is>
      </c>
    </row>
    <row r="8">
      <c r="A8" s="10" t="inlineStr">
        <is>
          <t>Flüssige Arzneien (Saft, Tropfen)</t>
        </is>
      </c>
      <c r="B8" s="10" t="inlineStr">
        <is>
          <t>Nach Packungsbeilage, oft kühl</t>
        </is>
      </c>
      <c r="C8" s="10" t="inlineStr">
        <is>
          <t>Kühlbox oder kühler Raum</t>
        </is>
      </c>
    </row>
    <row r="9">
      <c r="A9" s="10" t="inlineStr">
        <is>
          <t>Tabletten, Kapseln (trocken)</t>
        </is>
      </c>
      <c r="B9" s="10" t="inlineStr">
        <is>
          <t>Trocken, unter 25 °C, in Originalpackung</t>
        </is>
      </c>
      <c r="C9" s="10" t="inlineStr">
        <is>
          <t>Keine Kühlung nötig, vor Feuchtigkeit schützen</t>
        </is>
      </c>
    </row>
    <row r="12">
      <c r="A12" t="inlineStr">
        <is>
          <t>Hinweis: Angaben ohne Gewähr. Haltbarkeit immer nach Packungsbeilage und Apotheke prüfen.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So nutzt du die Tabelle</t>
        </is>
      </c>
    </row>
    <row r="2">
      <c r="A2" t="inlineStr">
        <is>
          <t>1. Pro Medikament eine Zeile. Verbrauch pro Tag in Stück eintragen (z. B. 2 Tabletten täglich = 2).</t>
        </is>
      </c>
    </row>
    <row r="3">
      <c r="A3" t="inlineStr">
        <is>
          <t>2. Vorrat in Stück eintragen. Die Reichweite in Tagen wird berechnet.</t>
        </is>
      </c>
    </row>
    <row r="4">
      <c r="A4" t="inlineStr">
        <is>
          <t>3. Ablaufdatum der Packung und Rezept-Gültigkeit eintragen.</t>
        </is>
      </c>
    </row>
    <row r="5">
      <c r="A5" t="inlineStr">
        <is>
          <t>4. Kühlpflicht mit ja oder nein angeben.</t>
        </is>
      </c>
    </row>
    <row r="6">
      <c r="A6" t="inlineStr"/>
    </row>
    <row r="7">
      <c r="A7" s="11" t="inlineStr">
        <is>
          <t>Statusangaben</t>
        </is>
      </c>
    </row>
    <row r="8">
      <c r="A8" t="inlineStr">
        <is>
          <t>NACHBESTELLEN: Vorrat reicht weniger als 14 Tage. Jetzt anfordern.</t>
        </is>
      </c>
    </row>
    <row r="9">
      <c r="A9" t="inlineStr">
        <is>
          <t>bald prüfen: Vorrat reicht weniger als 30 Tage.</t>
        </is>
      </c>
    </row>
    <row r="10">
      <c r="A10" t="inlineStr">
        <is>
          <t>ABGELAUFEN: Packung oder Rezept ist abgelaufen. Mit Arzt oder Apotheke klären.</t>
        </is>
      </c>
    </row>
    <row r="11">
      <c r="A11" t="inlineStr">
        <is>
          <t>Rezept erneuern: Rezept läuft in weniger als 30 Tagen ab.</t>
        </is>
      </c>
    </row>
    <row r="12">
      <c r="A12" t="inlineStr"/>
    </row>
    <row r="13">
      <c r="A13" t="inlineStr">
        <is>
          <t>Wichtig: Die Tabelle ersetzt keine ärztliche Beratung. Dosierungen nur nach Verordnung übernehmen.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2026-10-27T10:20:00Z</dcterms:created>
  <dcterms:modified xmlns:dcterms="http://purl.org/dc/terms/" xmlns:xsi="http://www.w3.org/2001/XMLSchema-instance" xsi:type="dcterms:W3CDTF">2026-10-27T10:20:00Z</dcterms:modified>
</cp:coreProperties>
</file>